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tlanichstrasse-my.sharepoint.com/personal/simohausberger_office_htlinn_ac_at/Documents/Diplomarbeit_Infineon/B_HAUSBERGER/LEISTUNGSELEKTRONIK/GITHUB/PowerBoard2/"/>
    </mc:Choice>
  </mc:AlternateContent>
  <xr:revisionPtr revIDLastSave="674" documentId="8_{0CD064B9-2887-41D6-83F1-2FFC4D6AAC93}" xr6:coauthVersionLast="47" xr6:coauthVersionMax="47" xr10:uidLastSave="{94B26704-C528-4FE5-98A7-DD3985EE6F44}"/>
  <bookViews>
    <workbookView xWindow="22932" yWindow="-108" windowWidth="23256" windowHeight="12456" xr2:uid="{62E0FD3F-D5C5-4672-A0EF-BB1CAD6D905B}"/>
  </bookViews>
  <sheets>
    <sheet name="PowerBoard2BOM v34 GESAMT" sheetId="4" r:id="rId1"/>
    <sheet name="PowerBoard2BOM v34 INFINEON" sheetId="1" r:id="rId2"/>
    <sheet name="PowerBoard2BOM v34 WÜRTH" sheetId="5" r:id="rId3"/>
    <sheet name="PowerBoard2BOM v34 HTL" sheetId="6" r:id="rId4"/>
  </sheets>
  <definedNames>
    <definedName name="ExternalData_1" localSheetId="0" hidden="1">'PowerBoard2BOM v34 GESAMT'!$A$1:$H$78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6" l="1"/>
  <c r="I57" i="5"/>
  <c r="I9" i="1"/>
  <c r="B17" i="6"/>
  <c r="B57" i="5"/>
  <c r="B9" i="1"/>
  <c r="I2" i="4"/>
  <c r="I3" i="4"/>
  <c r="I4" i="4"/>
  <c r="I11" i="4"/>
  <c r="I7" i="4"/>
  <c r="I8" i="4"/>
  <c r="I6" i="4"/>
  <c r="I9" i="4"/>
  <c r="I10" i="4"/>
  <c r="I5" i="4"/>
  <c r="I12" i="4"/>
  <c r="I13" i="4"/>
  <c r="I15" i="4"/>
  <c r="I14" i="4"/>
  <c r="I16" i="4"/>
  <c r="I18" i="4"/>
  <c r="I17" i="4"/>
  <c r="I20" i="4"/>
  <c r="I19" i="4"/>
  <c r="I48" i="4"/>
  <c r="I37" i="4"/>
  <c r="I49" i="4"/>
  <c r="I36" i="4"/>
  <c r="I42" i="4"/>
  <c r="I50" i="4"/>
  <c r="I38" i="4"/>
  <c r="I43" i="4"/>
  <c r="I44" i="4"/>
  <c r="I39" i="4"/>
  <c r="I45" i="4"/>
  <c r="I46" i="4"/>
  <c r="I41" i="4"/>
  <c r="I40" i="4"/>
  <c r="I47" i="4"/>
  <c r="I53" i="4"/>
  <c r="I54" i="4"/>
  <c r="I55" i="4"/>
  <c r="I21" i="4"/>
  <c r="I31" i="4"/>
  <c r="I33" i="4"/>
  <c r="I29" i="4"/>
  <c r="I30" i="4"/>
  <c r="I32" i="4"/>
  <c r="I34" i="4"/>
  <c r="I51" i="4"/>
  <c r="I52" i="4"/>
  <c r="I73" i="4"/>
  <c r="I57" i="4"/>
  <c r="I58" i="4"/>
  <c r="I59" i="4"/>
  <c r="I60" i="4"/>
  <c r="I61" i="4"/>
  <c r="I74" i="4"/>
  <c r="I62" i="4"/>
  <c r="I63" i="4"/>
  <c r="I64" i="4"/>
  <c r="I65" i="4"/>
  <c r="I66" i="4"/>
  <c r="I75" i="4"/>
  <c r="I67" i="4"/>
  <c r="I68" i="4"/>
  <c r="I69" i="4"/>
  <c r="I70" i="4"/>
  <c r="I71" i="4"/>
  <c r="I72" i="4"/>
  <c r="I56" i="4"/>
  <c r="I28" i="4"/>
  <c r="I22" i="4"/>
  <c r="I23" i="4"/>
  <c r="I25" i="4"/>
  <c r="I26" i="4"/>
  <c r="I27" i="4"/>
  <c r="I76" i="4"/>
  <c r="I77" i="4"/>
  <c r="I78" i="4"/>
  <c r="B79" i="4"/>
  <c r="I79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owerBoard2BOM v34" description="Connection to the 'PowerBoard2BOM v34' query in the workbook." type="5" refreshedVersion="8" background="1" saveData="1">
    <dbPr connection="Provider=Microsoft.Mashup.OleDb.1;Data Source=$Workbook$;Location=&quot;PowerBoard2BOM v34&quot;;Extended Properties=&quot;&quot;" command="SELECT * FROM [PowerBoard2BOM v34]"/>
  </connection>
</connections>
</file>

<file path=xl/sharedStrings.xml><?xml version="1.0" encoding="utf-8"?>
<sst xmlns="http://schemas.openxmlformats.org/spreadsheetml/2006/main" count="1076" uniqueCount="327">
  <si>
    <t>Reference Designators</t>
  </si>
  <si>
    <t>Quantity</t>
  </si>
  <si>
    <t>Description</t>
  </si>
  <si>
    <t>Package</t>
  </si>
  <si>
    <t>Value</t>
  </si>
  <si>
    <t>Manufacturer</t>
  </si>
  <si>
    <t>DATASHEET-URL</t>
  </si>
  <si>
    <t>PART-NUMBER</t>
  </si>
  <si>
    <t>G1</t>
  </si>
  <si>
    <t>Synchronous Step-Down Regulator</t>
  </si>
  <si>
    <t>SOP65P600X115-15N</t>
  </si>
  <si>
    <t>J1</t>
  </si>
  <si>
    <t>WR-TBL Serie 2196 - 10.16 mm Horiz. Entry Modular</t>
  </si>
  <si>
    <t xml:space="preserve"> 691219610002 </t>
  </si>
  <si>
    <t>R51, R60, R61</t>
  </si>
  <si>
    <t>WRIS-RSKS Thick Film Resistors</t>
  </si>
  <si>
    <t>WRIS-RSKS_0805_REFLOW</t>
  </si>
  <si>
    <t>0Ohm</t>
  </si>
  <si>
    <t>https://www.we-online.com/redexpert/spec/560112120002?ae</t>
  </si>
  <si>
    <t xml:space="preserve"> 560112120002 </t>
  </si>
  <si>
    <t>U2, U3, U4</t>
  </si>
  <si>
    <t>2ED21824S06J</t>
  </si>
  <si>
    <t>SOIC127P600X172-14N</t>
  </si>
  <si>
    <t>J13</t>
  </si>
  <si>
    <t>WR-TBL Serie 3211 - 3.50 mm Vertical PCB Header</t>
  </si>
  <si>
    <t>691321100004</t>
  </si>
  <si>
    <t>https://www.we-online.com/redexpert/spec/691321100004?ae</t>
  </si>
  <si>
    <t>R18, R59</t>
  </si>
  <si>
    <t>47 kohm</t>
  </si>
  <si>
    <t>https://www.we-online.com/redexpert/spec/560112116117?ae</t>
  </si>
  <si>
    <t>560112120034</t>
  </si>
  <si>
    <t>C1, C10, C11, C12, C2, C28, C29, C32, C4, C41, C5, C7, C76, C8</t>
  </si>
  <si>
    <t>WCAP-CSGP MLCCs 100 V(DC)</t>
  </si>
  <si>
    <t>WCAP-CSGP_1206_H1.6</t>
  </si>
  <si>
    <t>2.2 µF</t>
  </si>
  <si>
    <t>https://www.we-online.com/redexpert/spec/885012208124?ae</t>
  </si>
  <si>
    <t>885012208124</t>
  </si>
  <si>
    <t>J14, J3</t>
  </si>
  <si>
    <t>WR-PHD 2.54 mm THT Pin Header</t>
  </si>
  <si>
    <t>61300611121</t>
  </si>
  <si>
    <t>https://www.we-online.com/redexpert/spec/61300611121?ae</t>
  </si>
  <si>
    <t>G3</t>
  </si>
  <si>
    <t>Linear Voltage Post Regulator</t>
  </si>
  <si>
    <t>SOIC127P600X170-9N-3</t>
  </si>
  <si>
    <t>Q1, Q2, Q3, Q4, Q5, Q6, Q7</t>
  </si>
  <si>
    <t>Insulated-Gate Field-Effect Transistor (IGFET), N-Channel, Enhancement, Body Diode, Pin 1 Gate, 2 Drain, 3 Source, 3 Pins</t>
  </si>
  <si>
    <t>IRF100P218_IRF100P218</t>
  </si>
  <si>
    <t>Infineon Technologies</t>
  </si>
  <si>
    <t>IRF100P218</t>
  </si>
  <si>
    <t>R10, R11, R12</t>
  </si>
  <si>
    <t>22 kohm</t>
  </si>
  <si>
    <t>560112120032</t>
  </si>
  <si>
    <t>J11</t>
  </si>
  <si>
    <t>SAMTEC_HSEC8-160-01-X-DV-A-BL</t>
  </si>
  <si>
    <t>HSEC8-160-01-X-DV-A-BL</t>
  </si>
  <si>
    <t>U7</t>
  </si>
  <si>
    <t>EiceDRIVER� 125 V High Side Gate Driver</t>
  </si>
  <si>
    <t>SOIC127P600X175-8N-22-V2</t>
  </si>
  <si>
    <t>1EDL8011</t>
  </si>
  <si>
    <t>R1</t>
  </si>
  <si>
    <t>WRIS-RSKS_1206_REFLOW</t>
  </si>
  <si>
    <t>2.2 kohm</t>
  </si>
  <si>
    <t>https://www.we-online.com/redexpert/spec/560112132019?ae</t>
  </si>
  <si>
    <t>560112132019</t>
  </si>
  <si>
    <t>C34, C58</t>
  </si>
  <si>
    <t>WCAP-CSGP_0805_H1.25_R</t>
  </si>
  <si>
    <t>4.7 nF</t>
  </si>
  <si>
    <t>https://www.we-online.com/redexpert/spec/885012007092?ae</t>
  </si>
  <si>
    <t>885012007092</t>
  </si>
  <si>
    <t>C30</t>
  </si>
  <si>
    <t>WCAP-CSGP MLCCs 25 V(DC)</t>
  </si>
  <si>
    <t>150 nF</t>
  </si>
  <si>
    <t>https://www.we-online.com/redexpert/spec/885012207073?ae</t>
  </si>
  <si>
    <t>885012207073</t>
  </si>
  <si>
    <t>D10, D4, D5, D6, D7</t>
  </si>
  <si>
    <t>SOT95P240X111-3N</t>
  </si>
  <si>
    <t>*</t>
  </si>
  <si>
    <t>J4, J8, J9</t>
  </si>
  <si>
    <t>691321100006</t>
  </si>
  <si>
    <t>https://www.we-online.com/redexpert/spec/691321100006?ae</t>
  </si>
  <si>
    <t>L2</t>
  </si>
  <si>
    <t>WE-PD SMT Power Inductor</t>
  </si>
  <si>
    <t>WE-PD_1210</t>
  </si>
  <si>
    <t>15uH</t>
  </si>
  <si>
    <t>https://www.we-online.com/redexpert/spec/7447709150?ae</t>
  </si>
  <si>
    <t>7447709150</t>
  </si>
  <si>
    <t>U10, U6, U8, U9</t>
  </si>
  <si>
    <t>D8_TEX</t>
  </si>
  <si>
    <t>https://www.ti.com/lit/gpn/ina240</t>
  </si>
  <si>
    <t>Texas Instruments</t>
  </si>
  <si>
    <t>INA240A1D</t>
  </si>
  <si>
    <t>S1, S2</t>
  </si>
  <si>
    <t>WS-TASV SMT Tact Switch 4.5x4.5 mm</t>
  </si>
  <si>
    <t>430181038816</t>
  </si>
  <si>
    <t>https://www.we-online.com/redexpert/spec/430181038816?ae</t>
  </si>
  <si>
    <t>R28</t>
  </si>
  <si>
    <t>36 kohm</t>
  </si>
  <si>
    <t>https://www.we-online.com/redexpert/spec/560112120007?ae</t>
  </si>
  <si>
    <t>560112120007</t>
  </si>
  <si>
    <t>C26, C3, C6, C9</t>
  </si>
  <si>
    <t>WCAP-CSGP MLCCs 50 V(DC)</t>
  </si>
  <si>
    <t>WCAP-CSGP_0805_H0.6_R</t>
  </si>
  <si>
    <t>68 pF</t>
  </si>
  <si>
    <t>https://www.we-online.com/redexpert/spec/885012007056?ae</t>
  </si>
  <si>
    <t>885012007056</t>
  </si>
  <si>
    <t>R50, R55</t>
  </si>
  <si>
    <t>1000 ohm</t>
  </si>
  <si>
    <t>560112120027</t>
  </si>
  <si>
    <t>C13, C14, C15, C60, C61, C62, C63, C64, C65</t>
  </si>
  <si>
    <t>WCAP-ATUL Aluminum Electrolytic Capacitors</t>
  </si>
  <si>
    <t>WCAP-ATUL_8X11.5(DXL)</t>
  </si>
  <si>
    <t>27 µF</t>
  </si>
  <si>
    <t>https://www.we-online.com/redexpert/spec/860040874001?ae</t>
  </si>
  <si>
    <t>860040874001</t>
  </si>
  <si>
    <t>C54, C55, C56, C57, C80</t>
  </si>
  <si>
    <t>WCAP-CSGP_0805_H0.8_R</t>
  </si>
  <si>
    <t>3.3 nF</t>
  </si>
  <si>
    <t>https://www.we-online.com/redexpert/spec/885012207119?ae</t>
  </si>
  <si>
    <t>885012207119</t>
  </si>
  <si>
    <t>C39, C72, C73, C75, C77, C79</t>
  </si>
  <si>
    <t>220 nF</t>
  </si>
  <si>
    <t>https://www.we-online.com/redexpert/spec/885012207100?ae</t>
  </si>
  <si>
    <t>885012207100</t>
  </si>
  <si>
    <t>NTC1</t>
  </si>
  <si>
    <t>THRMC2012X130N</t>
  </si>
  <si>
    <t>B57471V2104J062</t>
  </si>
  <si>
    <t>J6, J7</t>
  </si>
  <si>
    <t>SAMTEC_ERF8-040-05.0-L-DV-L-K-TR</t>
  </si>
  <si>
    <t>ERF8-040-05.0-L-DV-L-K-TR</t>
  </si>
  <si>
    <t xml:space="preserve">SAMTEC </t>
  </si>
  <si>
    <t>C83</t>
  </si>
  <si>
    <t>47 nF</t>
  </si>
  <si>
    <t>https://www.we-online.com/redexpert/spec/885012207126?ae</t>
  </si>
  <si>
    <t>885012207126</t>
  </si>
  <si>
    <t>D8</t>
  </si>
  <si>
    <t>WL-SMCW_1206</t>
  </si>
  <si>
    <t>150120RS75000</t>
  </si>
  <si>
    <t>https://www.we-online.com/redexpert/spec/150120RS75000?ae</t>
  </si>
  <si>
    <t>C24, C31</t>
  </si>
  <si>
    <t>WCAP-CSGP_1210_H2.5</t>
  </si>
  <si>
    <t>22 µF</t>
  </si>
  <si>
    <t>https://www.we-online.com/redexpert/spec/885012109014?ae</t>
  </si>
  <si>
    <t>885012109014</t>
  </si>
  <si>
    <t>R52</t>
  </si>
  <si>
    <t>6.8 kohm</t>
  </si>
  <si>
    <t>560112120031</t>
  </si>
  <si>
    <t>U1</t>
  </si>
  <si>
    <t>6-V to 100-V input, 3.5-A non-synchronous buck DC/DC converter with ultra-low quiescent current (IQ) 8-SO PowerPAD -40 to 150</t>
  </si>
  <si>
    <t>DDA0008E-IPC_C</t>
  </si>
  <si>
    <t>LM5013DDAR</t>
  </si>
  <si>
    <t>R29</t>
  </si>
  <si>
    <t>33 kohm</t>
  </si>
  <si>
    <t>R38, R40, R42, R44, R48, R49, R53, R56</t>
  </si>
  <si>
    <t>10 kohm</t>
  </si>
  <si>
    <t>https://www.we-online.com/redexpert/spec/560112120004?ae</t>
  </si>
  <si>
    <t>560112120004</t>
  </si>
  <si>
    <t>D3</t>
  </si>
  <si>
    <t>150120GS75000</t>
  </si>
  <si>
    <t>https://www.we-online.com/redexpert/spec/150120GS75000?ae</t>
  </si>
  <si>
    <t>R57</t>
  </si>
  <si>
    <t>47 ohm</t>
  </si>
  <si>
    <t>https://www.we-online.com/redexpert/spec/560112120003?ae</t>
  </si>
  <si>
    <t>560112120003</t>
  </si>
  <si>
    <t>U13</t>
  </si>
  <si>
    <t>TSSOP_0104PWR_TEX</t>
  </si>
  <si>
    <t>https://www.ti.com/lit/gpn/txu0104</t>
  </si>
  <si>
    <t>TXU0104PWR</t>
  </si>
  <si>
    <t>R2</t>
  </si>
  <si>
    <t>5.1 kohm</t>
  </si>
  <si>
    <t>https://www.we-online.com/redexpert/spec/560112120019?ae</t>
  </si>
  <si>
    <t>560112120019</t>
  </si>
  <si>
    <t>J15, J16</t>
  </si>
  <si>
    <t>WR-PHD 2.54 mm Socket Header</t>
  </si>
  <si>
    <t>61301511821</t>
  </si>
  <si>
    <t>https://www.we-online.com/redexpert/spec/61301511821?ae</t>
  </si>
  <si>
    <t>R21, R58</t>
  </si>
  <si>
    <t>4.7 kohm</t>
  </si>
  <si>
    <t>560112120030</t>
  </si>
  <si>
    <t>R16, R45</t>
  </si>
  <si>
    <t>100 kohm</t>
  </si>
  <si>
    <t>https://www.we-online.com/redexpert/spec/560112120013?ae</t>
  </si>
  <si>
    <t>560112120013</t>
  </si>
  <si>
    <t>J10, J12, J5</t>
  </si>
  <si>
    <t>WR-PHD 2.00 mm THT Pin Header</t>
  </si>
  <si>
    <t>62000311121</t>
  </si>
  <si>
    <t>https://www.we-online.com/redexpert/spec/62000311121?ae</t>
  </si>
  <si>
    <t>RS1, RS2, RS3, RS4, RS5</t>
  </si>
  <si>
    <t>WRIS-PSMC Metal Plate Resistors</t>
  </si>
  <si>
    <t>WRIS_PSMC_2512_6.3X3.1X0.58X2.2(LXWXHXPW)</t>
  </si>
  <si>
    <t>2mOhm</t>
  </si>
  <si>
    <t>https://katalog.we-online.de/pbs/datasheet/580070763001.pdf</t>
  </si>
  <si>
    <t xml:space="preserve"> 580070763001 </t>
  </si>
  <si>
    <t>C22, C33, C59, C81, C82</t>
  </si>
  <si>
    <t>WCAP-ATUL_10X20(DXL)</t>
  </si>
  <si>
    <t>100 µF</t>
  </si>
  <si>
    <t>https://www.we-online.com/redexpert/spec/860040875005?ae</t>
  </si>
  <si>
    <t>860040875005</t>
  </si>
  <si>
    <t>R47, R54</t>
  </si>
  <si>
    <t>POT_3386F</t>
  </si>
  <si>
    <t>Bourns Electronics</t>
  </si>
  <si>
    <t>3386F-1-103TLF</t>
  </si>
  <si>
    <t>C16, C17, C18, C19, C20, C21, C27</t>
  </si>
  <si>
    <t>WCAP-CSGP_1210_H2.0</t>
  </si>
  <si>
    <t>1 µF</t>
  </si>
  <si>
    <t>https://www.we-online.com/redexpert/spec/885012209069?ae</t>
  </si>
  <si>
    <t>885012209069</t>
  </si>
  <si>
    <t>L1</t>
  </si>
  <si>
    <t>22uH</t>
  </si>
  <si>
    <t>https://www.we-online.com/redexpert/spec/7447709220?ae</t>
  </si>
  <si>
    <t>7447709220</t>
  </si>
  <si>
    <t>C35, C36, C37, C42, C43, C44, C46, C47, C48, C50, C51, C52</t>
  </si>
  <si>
    <t>1 nF</t>
  </si>
  <si>
    <t>https://www.we-online.com/redexpert/spec/885012007063?ae</t>
  </si>
  <si>
    <t>885012007063</t>
  </si>
  <si>
    <t>R20, R4, R5, R6, R7, R8</t>
  </si>
  <si>
    <t>18 ohm</t>
  </si>
  <si>
    <t>https://www.we-online.com/redexpert/spec/560112132032?ae</t>
  </si>
  <si>
    <t>560112132032</t>
  </si>
  <si>
    <t>U11</t>
  </si>
  <si>
    <t>TSSOP14_PW_TEX</t>
  </si>
  <si>
    <t>https://www.ti.com/lit/gpn/txu0304</t>
  </si>
  <si>
    <t>TXU0304PWR</t>
  </si>
  <si>
    <t>G2</t>
  </si>
  <si>
    <t>Adjustable Linear Voltage Post Regulator</t>
  </si>
  <si>
    <t>TLS208D1EJV</t>
  </si>
  <si>
    <t>C23, C25</t>
  </si>
  <si>
    <t>https://www.we-online.com/redexpert/spec/885012007091?ae</t>
  </si>
  <si>
    <t>885012007091</t>
  </si>
  <si>
    <t>R22, R30, R9</t>
  </si>
  <si>
    <t>1.2 kohm</t>
  </si>
  <si>
    <t>560112120028</t>
  </si>
  <si>
    <t>D1, D2</t>
  </si>
  <si>
    <t>150120BS75000</t>
  </si>
  <si>
    <t>https://www.we-online.com/redexpert/spec/150120BS75000?ae</t>
  </si>
  <si>
    <t>J2</t>
  </si>
  <si>
    <t>691219610003</t>
  </si>
  <si>
    <t>RS-PRO-HEATSINK</t>
  </si>
  <si>
    <t>R17, R19</t>
  </si>
  <si>
    <t>470 kohm</t>
  </si>
  <si>
    <t>https://www.we-online.com/redexpert/spec/560112120009?ae</t>
  </si>
  <si>
    <t>560112120009</t>
  </si>
  <si>
    <t>U5</t>
  </si>
  <si>
    <t>SMBFLAT_STM</t>
  </si>
  <si>
    <t>https://www.st.com/resource/en/datasheet/stps2200.pdf</t>
  </si>
  <si>
    <t>STMicroelectronics</t>
  </si>
  <si>
    <t>STPS2200UF</t>
  </si>
  <si>
    <t>R3</t>
  </si>
  <si>
    <t>33 ohm</t>
  </si>
  <si>
    <t>https://www.we-online.com/redexpert/spec/560112132033?ae</t>
  </si>
  <si>
    <t>560112132033</t>
  </si>
  <si>
    <t>R37, R39, R41, R43</t>
  </si>
  <si>
    <t>261 kohm</t>
  </si>
  <si>
    <t>https://www.we-online.com/redexpert/spec/560112120023?ae</t>
  </si>
  <si>
    <t>560112120023</t>
  </si>
  <si>
    <t>R23, R24, R25, R26, R27, R31, R32, R33, R34, R35, R36, R46</t>
  </si>
  <si>
    <t>10 ohm</t>
  </si>
  <si>
    <t>https://www.we-online.com/redexpert/spec/560112120001?ae</t>
  </si>
  <si>
    <t>560112120001</t>
  </si>
  <si>
    <t>C38, C45, C49, C53, C66, C67, C68, C69, C70, C71</t>
  </si>
  <si>
    <t>100 nF</t>
  </si>
  <si>
    <t>https://www.we-online.com/redexpert/spec/885012207128?ae</t>
  </si>
  <si>
    <t>885012207128</t>
  </si>
  <si>
    <t>C40</t>
  </si>
  <si>
    <t>WCAP-CSGP_0805_H0.8_W</t>
  </si>
  <si>
    <t>2.2 nF</t>
  </si>
  <si>
    <t>https://www.we-online.com/redexpert/spec/885012007065?ae</t>
  </si>
  <si>
    <t>885012007065</t>
  </si>
  <si>
    <t>Würth Elektronik</t>
  </si>
  <si>
    <t>BZX84C3V6LT1G</t>
  </si>
  <si>
    <t>BZX84C3V6LT1GBZX84C3V3LT1G_SOT95P240X111-3N</t>
  </si>
  <si>
    <t>Onsemi</t>
  </si>
  <si>
    <t>BZX84C2V4LT1 - Zener Voltage Regulators</t>
  </si>
  <si>
    <t>OPTIREG™ switcher TLS4125D0EPV50</t>
  </si>
  <si>
    <t>TLS4125D0EPV50</t>
  </si>
  <si>
    <t>TLS208D1-Data-Sheet-Infineon</t>
  </si>
  <si>
    <t>TLS208D1</t>
  </si>
  <si>
    <t>RS-PRO</t>
  </si>
  <si>
    <t>Heatsink</t>
  </si>
  <si>
    <t>A700000010244389.pdf</t>
  </si>
  <si>
    <t>789-8554</t>
  </si>
  <si>
    <t>⁣WR-TBL Serie 2196 - 10.16 mm Horiz. Entry Modular | Elektromechanische Bauelemente | Würth Elektronik Produktkatalog</t>
  </si>
  <si>
    <t>HSEC8-160-01-L-DV-A-BL</t>
  </si>
  <si>
    <t>HSEC8-160-01-L-DV-A-BL - Generate® Highspeed-Edgecard-Steckverbinder, 0,80 mm, vertikal</t>
  </si>
  <si>
    <t>ERF8-040-05.0-L-DV-L-K-TR - Robuste Edge Rate® Highspeed-Buchse (0,80 mm)</t>
  </si>
  <si>
    <t>EPCOS-TDK Electronice</t>
  </si>
  <si>
    <t>NTC_SMD_Standard_series_0805.pdf</t>
  </si>
  <si>
    <t>IRF100P218 - N-channel MOSFETs | Infineon Technologies</t>
  </si>
  <si>
    <t>3386 3/8-Inch Square Trimpot® Trimming Potentiometer</t>
  </si>
  <si>
    <t>Potentiometer, 10 kohm</t>
  </si>
  <si>
    <t>LM5013 100-V Input, 3.5-A Non-Synchronous Buck DC/DC Converter with Ultra-Low IQ datasheet</t>
  </si>
  <si>
    <t>2ED21824S06J - Gate driver ICs | Infineon Technologies</t>
  </si>
  <si>
    <t>2ED21824S06J, Gatedriver</t>
  </si>
  <si>
    <t>Shottky-Diode</t>
  </si>
  <si>
    <t>Thermal Pad for Mosfets</t>
  </si>
  <si>
    <t>Bergquist</t>
  </si>
  <si>
    <t>SP400-0.007-00-104 Bergquist | Fans, Blowers, Thermal Management | DigiKey</t>
  </si>
  <si>
    <t>BER204-ND</t>
  </si>
  <si>
    <t>Control-Card, Boy II, PSOC3M5, CC1</t>
  </si>
  <si>
    <t>Control-Card</t>
  </si>
  <si>
    <t>KIT-PSC3M5-CC1 - Evaluation Boards | Infineon Technologies</t>
  </si>
  <si>
    <t>KIT_PSC3M5_CC1</t>
  </si>
  <si>
    <t>Connector, 6-Pin</t>
  </si>
  <si>
    <t>⁣WR-TBL Serie 3611 - 3.50 mm Vertical | Elektromechanische Bauelemente | Würth Elektronik Produktkatalog</t>
  </si>
  <si>
    <t>Connector, 4-Pin</t>
  </si>
  <si>
    <t>Pinheader-Jumper</t>
  </si>
  <si>
    <t>WR-PHD 2.00 mm Jumper with Test Point | Electromechanical Components | Würth Elektronik Product Catalog</t>
  </si>
  <si>
    <t>⁣WA-SPAIE Plastic Spacer Stud, metric, internal/ external | Electromechanical Components | Würth Elektronik Product Catalog</t>
  </si>
  <si>
    <t>Round-Plastic-Spacers</t>
  </si>
  <si>
    <t>M3-Kunstoff-Muttern, für Spacerstunds</t>
  </si>
  <si>
    <t>Sprengring, M3</t>
  </si>
  <si>
    <t>Beilagscheibe, M3</t>
  </si>
  <si>
    <t>Plastic Spacer Stund</t>
  </si>
  <si>
    <t>960020042 Datasheet WA-SPARO Round Plastic Spacers</t>
  </si>
  <si>
    <t>Pegelwandler, Inkremental</t>
  </si>
  <si>
    <t>Pegelwandler, Motorensors</t>
  </si>
  <si>
    <t>M3-Schrauben, leitend, für Kühlkörper &amp; Mosfet befestigung, ~10mm</t>
  </si>
  <si>
    <t>Calypso IoT Design Kit</t>
  </si>
  <si>
    <t>⁣Calypso IoT Design Kit | Funkmodule | Würth Elektronik Produktkatalog</t>
  </si>
  <si>
    <t>SMD NTC Thermistors (EPCOS</t>
  </si>
  <si>
    <t>WL-SMCW SMT Mono-color Chip LED Waterclear</t>
  </si>
  <si>
    <t>WA-SPAII Plastic Spacer Stud, metric, internal/ internal | Elektromechanische Bauelemente | Würth Elektronik Produktkatalog</t>
  </si>
  <si>
    <t>Calypso IoT Design Kit, (nicht zwingend notwendig)</t>
  </si>
  <si>
    <t>5-Boards</t>
  </si>
  <si>
    <t>WL-SMCW SMT Mono-color Chip LED Waterclear, blue</t>
  </si>
  <si>
    <t>WL-SMCW SMT Mono-color Chip LED Waterclear, green</t>
  </si>
  <si>
    <t>WL-SMCW SMT Mono-color Chip LED Waterclear, red</t>
  </si>
  <si>
    <t>Linear Voltage Post Regulator, fixed 3.3V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</si>
</sst>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D252D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1" fontId="0" fillId="0" borderId="0" xfId="0" applyNumberFormat="1" applyAlignment="1">
      <alignment horizontal="left"/>
    </xf>
    <xf numFmtId="1" fontId="0" fillId="0" borderId="0" xfId="0" applyNumberFormat="1"/>
    <xf numFmtId="0" fontId="1" fillId="0" borderId="0" xfId="1"/>
    <xf numFmtId="0" fontId="0" fillId="0" borderId="0" xfId="0" applyAlignment="1">
      <alignment horizontal="left"/>
    </xf>
    <xf numFmtId="1" fontId="1" fillId="0" borderId="0" xfId="1" applyNumberFormat="1"/>
    <xf numFmtId="0" fontId="1" fillId="0" borderId="0" xfId="1" applyNumberFormat="1"/>
    <xf numFmtId="2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0" fontId="3" fillId="0" borderId="0" xfId="0" applyFont="1"/>
    <xf numFmtId="0" fontId="1" fillId="0" borderId="0" xfId="1" applyFill="1"/>
    <xf numFmtId="0" fontId="1" fillId="0" borderId="0" xfId="1" applyNumberFormat="1" applyFill="1"/>
    <xf numFmtId="1" fontId="3" fillId="0" borderId="0" xfId="0" applyNumberFormat="1" applyFont="1" applyAlignment="1">
      <alignment horizontal="left"/>
    </xf>
    <xf numFmtId="0" fontId="0" fillId="0" borderId="0" xfId="0" applyFill="1"/>
    <xf numFmtId="1" fontId="0" fillId="0" borderId="0" xfId="0" applyNumberFormat="1" applyFill="1"/>
    <xf numFmtId="1" fontId="1" fillId="0" borderId="0" xfId="1" applyNumberFormat="1" applyFill="1"/>
    <xf numFmtId="1" fontId="0" fillId="0" borderId="0" xfId="0" applyNumberFormat="1" applyFill="1" applyAlignment="1">
      <alignment horizontal="left"/>
    </xf>
  </cellXfs>
  <cellStyles count="2">
    <cellStyle name="Hyperlink" xfId="1" builtinId="8"/>
    <cellStyle name="Normal" xfId="0" builtinId="0"/>
  </cellStyles>
  <dxfs count="14">
    <dxf>
      <numFmt numFmtId="1" formatCode="0"/>
      <alignment horizontal="left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252D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numFmt numFmtId="1" formatCode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9" unboundColumnsRight="1">
    <queryTableFields count="9">
      <queryTableField id="1" name="Reference Designators" tableColumnId="1"/>
      <queryTableField id="2" name="Quantity" tableColumnId="2"/>
      <queryTableField id="3" name="Description" tableColumnId="3"/>
      <queryTableField id="4" name="Package" tableColumnId="4"/>
      <queryTableField id="5" name="Value" tableColumnId="5"/>
      <queryTableField id="6" name="Manufacturer" tableColumnId="6"/>
      <queryTableField id="9" name="DATASHEET-URL" tableColumnId="9"/>
      <queryTableField id="13" name="PART-NUMBER" tableColumnId="13"/>
      <queryTableField id="17" dataBound="0" tableColumnId="7"/>
    </queryTableFields>
    <queryTableDeletedFields count="6">
      <deletedField name="Manufacturer Part Number (MPN)"/>
      <deletedField name="DATASHEET"/>
      <deletedField name="MANUFACTURER_NAME"/>
      <deletedField name="MANUFACTURER_ORDER_NUMBER"/>
      <deletedField name="Column1"/>
      <deletedField name="MANUFACTURER_PART_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7C177D-C691-4D4E-9206-8B95D4C53893}" name="PowerBoard2BOM_v34" displayName="PowerBoard2BOM_v34" ref="A1:I79" tableType="queryTable" totalsRowCount="1">
  <autoFilter ref="A1:I78" xr:uid="{EF7C177D-C691-4D4E-9206-8B95D4C53893}"/>
  <sortState xmlns:xlrd2="http://schemas.microsoft.com/office/spreadsheetml/2017/richdata2" ref="A2:I78">
    <sortCondition ref="F1:F78"/>
  </sortState>
  <tableColumns count="9">
    <tableColumn id="1" xr3:uid="{7C446E1B-52B2-4A52-928A-747C8A918A61}" uniqueName="1" name="Reference Designators" queryTableFieldId="1" dataDxfId="13"/>
    <tableColumn id="2" xr3:uid="{4E593E50-C61C-4278-8398-43F61E5B83E5}" uniqueName="2" name="Quantity" totalsRowFunction="custom" queryTableFieldId="2">
      <totalsRowFormula>SUM(PowerBoard2BOM_v34[Quantity])</totalsRowFormula>
    </tableColumn>
    <tableColumn id="3" xr3:uid="{F6B19C17-0B31-49FD-B1B5-1CC38D2DE626}" uniqueName="3" name="Description" queryTableFieldId="3" dataDxfId="12"/>
    <tableColumn id="4" xr3:uid="{D27C8806-ED93-4FF6-9ECD-5C2A44D54FF9}" uniqueName="4" name="Package" queryTableFieldId="4" dataDxfId="11"/>
    <tableColumn id="5" xr3:uid="{0D1B7EE7-4A1C-488A-9AE8-D970E0F56D52}" uniqueName="5" name="Value" queryTableFieldId="5" dataDxfId="10"/>
    <tableColumn id="6" xr3:uid="{10D9C711-422B-4819-9DC8-5CFFEC76DC70}" uniqueName="6" name="Manufacturer" queryTableFieldId="6" dataDxfId="9"/>
    <tableColumn id="9" xr3:uid="{2724425B-6C18-49FC-BF22-CA4AA0F42BD0}" uniqueName="9" name="DATASHEET-URL" queryTableFieldId="9" dataDxfId="8"/>
    <tableColumn id="13" xr3:uid="{2DB6C585-4699-4061-8360-2CAFF003A839}" uniqueName="13" name="PART-NUMBER" queryTableFieldId="13" dataDxfId="7" totalsRowDxfId="6"/>
    <tableColumn id="7" xr3:uid="{6D763DE8-9E80-46BB-8AFF-EE1A408D8EA7}" uniqueName="7" name="5-Boards" totalsRowFunction="custom" queryTableFieldId="17" dataDxfId="5">
      <calculatedColumnFormula>PowerBoard2BOM_v34[[#This Row],[Quantity]]*5</calculatedColumnFormula>
      <totalsRowFormula>SUM(PowerBoard2BOM_v34[5-Boards])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99A892-55B1-48DF-AF86-CB49DFB623E3}" name="Table4" displayName="Table4" ref="A1:I9" totalsRowShown="0">
  <autoFilter ref="A1:I9" xr:uid="{C499A892-55B1-48DF-AF86-CB49DFB623E3}"/>
  <tableColumns count="9">
    <tableColumn id="1" xr3:uid="{FBD00503-FC93-49D9-B0A8-3B88216EA608}" name="Reference Designators"/>
    <tableColumn id="2" xr3:uid="{5FDE69CA-E495-4381-A8FD-966DE6C49228}" name="Quantity"/>
    <tableColumn id="3" xr3:uid="{373CF5E1-A0F1-4606-B9FE-EED23EAA35D6}" name="Description"/>
    <tableColumn id="4" xr3:uid="{12F4C904-A61F-427E-8F03-C4EBAE6A6596}" name="Package"/>
    <tableColumn id="5" xr3:uid="{D40B9E6E-F887-4143-831F-1428F5489F32}" name="Value"/>
    <tableColumn id="6" xr3:uid="{062673E9-FC78-403A-AD73-F9F427DE09DF}" name="Manufacturer"/>
    <tableColumn id="7" xr3:uid="{D1080E5A-8F28-4144-8033-7BC891D91CAE}" name="DATASHEET-URL" dataCellStyle="Hyperlink"/>
    <tableColumn id="8" xr3:uid="{45F8547E-56A1-4A9F-9F2B-02253147B2CF}" name="PART-NUMBER" dataDxfId="4"/>
    <tableColumn id="9" xr3:uid="{10A40358-0BD6-446E-9E53-72AA840D35CA}" name="5-Board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D0FE78-44DB-4B58-A4E4-F032DCCF406A}" name="Table2" displayName="Table2" ref="A1:I57" totalsRowShown="0">
  <autoFilter ref="A1:I57" xr:uid="{D2D0FE78-44DB-4B58-A4E4-F032DCCF406A}"/>
  <tableColumns count="9">
    <tableColumn id="1" xr3:uid="{E52F88FA-2B2B-44E3-AF17-22CAAF0B80DD}" name="Reference Designators"/>
    <tableColumn id="2" xr3:uid="{67A5218B-C090-4224-8A01-0BD8922AA735}" name="Quantity" dataDxfId="3"/>
    <tableColumn id="3" xr3:uid="{13663638-D7BE-4593-8220-21F4ECAD1AB3}" name="Description"/>
    <tableColumn id="4" xr3:uid="{D00CC89B-BB37-40C0-B55C-A094B583515C}" name="Package"/>
    <tableColumn id="5" xr3:uid="{A946727F-F7C2-4FCC-BAEF-19E84F371D7A}" name="Value"/>
    <tableColumn id="6" xr3:uid="{E379F416-FC5F-4836-9174-C59007ECBE2A}" name="Manufacturer"/>
    <tableColumn id="7" xr3:uid="{C8D7A7BE-F1E5-43B5-ACCB-89C31640F223}" name="DATASHEET-URL" dataCellStyle="Hyperlink"/>
    <tableColumn id="8" xr3:uid="{7D0B3CE4-8D34-469B-B5EA-1E2648CF8542}" name="PART-NUMBER" dataDxfId="2"/>
    <tableColumn id="9" xr3:uid="{E0B142FD-DF78-414E-917D-B8ED174E813E}" name="5-Board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22FBB-C25F-4434-85BA-A9932AB28763}" name="Table1" displayName="Table1" ref="A1:I17" totalsRowShown="0">
  <autoFilter ref="A1:I17" xr:uid="{E3622FBB-C25F-4434-85BA-A9932AB28763}"/>
  <sortState xmlns:xlrd2="http://schemas.microsoft.com/office/spreadsheetml/2017/richdata2" ref="A2:I17">
    <sortCondition ref="F1:F17"/>
  </sortState>
  <tableColumns count="9">
    <tableColumn id="1" xr3:uid="{2007C4D4-3683-49C5-986F-D5A895BACBED}" name="Reference Designators"/>
    <tableColumn id="2" xr3:uid="{15DE1246-D091-43D3-A179-7D65A6BF5771}" name="Quantity" dataDxfId="1"/>
    <tableColumn id="3" xr3:uid="{4A277854-FC6B-4DA2-83F3-6B04DDD1AB08}" name="Description"/>
    <tableColumn id="4" xr3:uid="{BE7AFC6F-6DD1-4B14-BE0C-04F0C45DF73E}" name="Package"/>
    <tableColumn id="5" xr3:uid="{C2647232-3FA2-44A5-A3A2-2F1C71D5567F}" name="Value"/>
    <tableColumn id="6" xr3:uid="{4DB9FE1E-45BC-474A-AAD0-652FACCD3AB2}" name="Manufacturer"/>
    <tableColumn id="7" xr3:uid="{BDF41E4F-217B-4E42-939E-72BC25FDC582}" name="DATASHEET-URL"/>
    <tableColumn id="8" xr3:uid="{1171A66C-8357-4942-B0D8-3197E4371397}" name="PART-NUMBER" dataDxfId="0"/>
    <tableColumn id="9" xr3:uid="{4427A35A-2471-4EF5-913E-A04C0A817DEB}" name="5-Bo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-online.com/de/components/products/TBL_10_16_2196_HORIZONTAL_ENTRY_MODULAR_69121961000X" TargetMode="External"/><Relationship Id="rId13" Type="http://schemas.openxmlformats.org/officeDocument/2006/relationships/hyperlink" Target="https://www.ti.com/lit/ds/symlink/lm5013.pdf?ts=1753887799318&amp;ref_url=https%253A%252F%252Fwww.ti.com%252Fpower-management%252Facdc-dcdc-converters%252Fproducts.html" TargetMode="External"/><Relationship Id="rId18" Type="http://schemas.openxmlformats.org/officeDocument/2006/relationships/hyperlink" Target="https://www.we-online.com/de/components/products/TBL_3_50_3611_VERTICAL_69136110000X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infineon.com/assets/row/public/documents/10/49/infineon-tls208d1-ds-en.pdf" TargetMode="External"/><Relationship Id="rId21" Type="http://schemas.openxmlformats.org/officeDocument/2006/relationships/hyperlink" Target="https://www.we-online.com/en/components/products/SPAIE_PLASTIC_SPACER_STUD_METRIC_INTERNAL_EXTERNAL" TargetMode="External"/><Relationship Id="rId7" Type="http://schemas.openxmlformats.org/officeDocument/2006/relationships/hyperlink" Target="https://www.samtec.com/de/products/hsec8-160-01-l-dv-a-bl" TargetMode="External"/><Relationship Id="rId12" Type="http://schemas.openxmlformats.org/officeDocument/2006/relationships/hyperlink" Target="https://www.bourns.com/docs/Product-Datasheets/3386.pdf" TargetMode="External"/><Relationship Id="rId17" Type="http://schemas.openxmlformats.org/officeDocument/2006/relationships/hyperlink" Target="https://www.infineon.com/evaluation-board/KIT-PSC3M5-CC1" TargetMode="External"/><Relationship Id="rId25" Type="http://schemas.openxmlformats.org/officeDocument/2006/relationships/hyperlink" Target="https://www.we-online.com/de/components/products/WA-SPAII_PLASTIC_SPACER_STUD_METRIC_INTERNAL_INTERNAL" TargetMode="External"/><Relationship Id="rId2" Type="http://schemas.openxmlformats.org/officeDocument/2006/relationships/hyperlink" Target="https://www.infineon.com/assets/row/public/documents/10/49/infineon-tls4125d0ep-v50-datasheet-en.pdf" TargetMode="External"/><Relationship Id="rId16" Type="http://schemas.openxmlformats.org/officeDocument/2006/relationships/hyperlink" Target="https://www.st.com/resource/en/datasheet/stps2200.pdf" TargetMode="External"/><Relationship Id="rId20" Type="http://schemas.openxmlformats.org/officeDocument/2006/relationships/hyperlink" Target="https://www.we-online.com/en/components/products/PHD_2_00_JUMPER_W_TEST_POINT_60800213421" TargetMode="External"/><Relationship Id="rId1" Type="http://schemas.openxmlformats.org/officeDocument/2006/relationships/hyperlink" Target="https://www.onsemi.com/pdf/datasheet/bzx84c2v4lt1-d.pdf" TargetMode="External"/><Relationship Id="rId6" Type="http://schemas.openxmlformats.org/officeDocument/2006/relationships/hyperlink" Target="https://www.we-online.com/de/components/products/TBL_10_16_2196_HORIZONTAL_ENTRY_MODULAR_69121961000X" TargetMode="External"/><Relationship Id="rId11" Type="http://schemas.openxmlformats.org/officeDocument/2006/relationships/hyperlink" Target="https://www.infineon.com/part/IRF100P218" TargetMode="External"/><Relationship Id="rId24" Type="http://schemas.openxmlformats.org/officeDocument/2006/relationships/hyperlink" Target="https://www.we-online.com/de/components/products/CALYPSO_IOT_FEATHERWING_2" TargetMode="External"/><Relationship Id="rId5" Type="http://schemas.openxmlformats.org/officeDocument/2006/relationships/hyperlink" Target="https://docs.rs-online.com/3b50/A700000010244389.pdf" TargetMode="External"/><Relationship Id="rId15" Type="http://schemas.openxmlformats.org/officeDocument/2006/relationships/hyperlink" Target="https://www.infineon.com/part/2ED21824S06J" TargetMode="External"/><Relationship Id="rId23" Type="http://schemas.openxmlformats.org/officeDocument/2006/relationships/hyperlink" Target="https://www.we-online.com/components/products/datasheet/960020042.pdf" TargetMode="External"/><Relationship Id="rId10" Type="http://schemas.openxmlformats.org/officeDocument/2006/relationships/hyperlink" Target="https://www.tdk-electronics.tdk.com/inf/50/db/ntc/NTC_SMD_Standard_series_0805.pdf" TargetMode="External"/><Relationship Id="rId19" Type="http://schemas.openxmlformats.org/officeDocument/2006/relationships/hyperlink" Target="https://www.we-online.com/de/components/products/TBL_3_50_3611_VERTICAL_69136110000X" TargetMode="External"/><Relationship Id="rId4" Type="http://schemas.openxmlformats.org/officeDocument/2006/relationships/hyperlink" Target="https://www.infineon.com/assets/row/public/documents/10/49/infineon-tls208d1-ds-en.pdf" TargetMode="External"/><Relationship Id="rId9" Type="http://schemas.openxmlformats.org/officeDocument/2006/relationships/hyperlink" Target="https://www.samtec.com/de/products/erf8-040-05.0-l-dv-l-k-tr" TargetMode="External"/><Relationship Id="rId14" Type="http://schemas.openxmlformats.org/officeDocument/2006/relationships/hyperlink" Target="https://www.infineon.com/assets/row/public/documents/24/49/infineon-1edl8011-datasheet-en.pdf" TargetMode="External"/><Relationship Id="rId22" Type="http://schemas.openxmlformats.org/officeDocument/2006/relationships/hyperlink" Target="https://www.digikey.at/en/products/detail/bergquist/SP400-0-007-00-104/529921" TargetMode="External"/><Relationship Id="rId27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www.infineon.com/assets/row/public/documents/10/49/infineon-tls208d1-ds-en.pdf" TargetMode="External"/><Relationship Id="rId7" Type="http://schemas.openxmlformats.org/officeDocument/2006/relationships/hyperlink" Target="https://www.infineon.com/evaluation-board/KIT-PSC3M5-CC1" TargetMode="External"/><Relationship Id="rId2" Type="http://schemas.openxmlformats.org/officeDocument/2006/relationships/hyperlink" Target="https://www.infineon.com/assets/row/public/documents/10/49/infineon-tls208d1-ds-en.pdf" TargetMode="External"/><Relationship Id="rId1" Type="http://schemas.openxmlformats.org/officeDocument/2006/relationships/hyperlink" Target="https://www.infineon.com/assets/row/public/documents/10/49/infineon-tls4125d0ep-v50-datasheet-en.pdf" TargetMode="External"/><Relationship Id="rId6" Type="http://schemas.openxmlformats.org/officeDocument/2006/relationships/hyperlink" Target="https://www.infineon.com/part/2ED21824S06J" TargetMode="External"/><Relationship Id="rId5" Type="http://schemas.openxmlformats.org/officeDocument/2006/relationships/hyperlink" Target="https://www.infineon.com/assets/row/public/documents/24/49/infineon-1edl8011-datasheet-en.pdf" TargetMode="External"/><Relationship Id="rId4" Type="http://schemas.openxmlformats.org/officeDocument/2006/relationships/hyperlink" Target="https://www.infineon.com/part/IRF100P21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-online.com/de/components/products/CALYPSO_IOT_FEATHERWING_2" TargetMode="External"/><Relationship Id="rId3" Type="http://schemas.openxmlformats.org/officeDocument/2006/relationships/hyperlink" Target="https://www.we-online.com/de/components/products/TBL_3_50_3611_VERTICAL_69136110000X" TargetMode="External"/><Relationship Id="rId7" Type="http://schemas.openxmlformats.org/officeDocument/2006/relationships/hyperlink" Target="https://www.we-online.com/components/products/datasheet/960020042.pdf" TargetMode="External"/><Relationship Id="rId2" Type="http://schemas.openxmlformats.org/officeDocument/2006/relationships/hyperlink" Target="https://www.we-online.com/de/components/products/TBL_10_16_2196_HORIZONTAL_ENTRY_MODULAR_69121961000X" TargetMode="External"/><Relationship Id="rId1" Type="http://schemas.openxmlformats.org/officeDocument/2006/relationships/hyperlink" Target="https://www.we-online.com/de/components/products/TBL_10_16_2196_HORIZONTAL_ENTRY_MODULAR_69121961000X" TargetMode="External"/><Relationship Id="rId6" Type="http://schemas.openxmlformats.org/officeDocument/2006/relationships/hyperlink" Target="https://www.we-online.com/en/components/products/SPAIE_PLASTIC_SPACER_STUD_METRIC_INTERNAL_EXTERNAL" TargetMode="External"/><Relationship Id="rId11" Type="http://schemas.openxmlformats.org/officeDocument/2006/relationships/table" Target="../tables/table3.xml"/><Relationship Id="rId5" Type="http://schemas.openxmlformats.org/officeDocument/2006/relationships/hyperlink" Target="https://www.we-online.com/en/components/products/PHD_2_00_JUMPER_W_TEST_POINT_60800213421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we-online.com/de/components/products/TBL_3_50_3611_VERTICAL_69136110000X" TargetMode="External"/><Relationship Id="rId9" Type="http://schemas.openxmlformats.org/officeDocument/2006/relationships/hyperlink" Target="https://www.we-online.com/de/components/products/WA-SPAII_PLASTIC_SPACER_STUD_METRIC_INTERNAL_INTERNA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ds/symlink/lm5013.pdf?ts=1753887799318&amp;ref_url=https%253A%252F%252Fwww.ti.com%252Fpower-management%252Facdc-dcdc-converters%252Fproducts.html" TargetMode="External"/><Relationship Id="rId3" Type="http://schemas.openxmlformats.org/officeDocument/2006/relationships/hyperlink" Target="https://www.digikey.at/en/products/detail/bergquist/SP400-0-007-00-104/529921" TargetMode="External"/><Relationship Id="rId7" Type="http://schemas.openxmlformats.org/officeDocument/2006/relationships/hyperlink" Target="https://www.samtec.com/de/products/erf8-040-05.0-l-dv-l-k-tr" TargetMode="External"/><Relationship Id="rId2" Type="http://schemas.openxmlformats.org/officeDocument/2006/relationships/hyperlink" Target="https://www.bourns.com/docs/Product-Datasheets/3386.pdf" TargetMode="External"/><Relationship Id="rId1" Type="http://schemas.openxmlformats.org/officeDocument/2006/relationships/hyperlink" Target="https://www.tdk-electronics.tdk.com/inf/50/db/ntc/NTC_SMD_Standard_series_0805.pdf" TargetMode="External"/><Relationship Id="rId6" Type="http://schemas.openxmlformats.org/officeDocument/2006/relationships/hyperlink" Target="https://www.samtec.com/de/products/hsec8-160-01-l-dv-a-bl" TargetMode="External"/><Relationship Id="rId5" Type="http://schemas.openxmlformats.org/officeDocument/2006/relationships/hyperlink" Target="https://docs.rs-online.com/3b50/A700000010244389.pdf" TargetMode="External"/><Relationship Id="rId10" Type="http://schemas.openxmlformats.org/officeDocument/2006/relationships/table" Target="../tables/table4.xml"/><Relationship Id="rId4" Type="http://schemas.openxmlformats.org/officeDocument/2006/relationships/hyperlink" Target="https://www.onsemi.com/pdf/datasheet/bzx84c2v4lt1-d.pdf" TargetMode="External"/><Relationship Id="rId9" Type="http://schemas.openxmlformats.org/officeDocument/2006/relationships/hyperlink" Target="https://www.st.com/resource/en/datasheet/stps22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0889-07C2-4DF9-818C-5CC2D82743C1}">
  <sheetPr>
    <pageSetUpPr fitToPage="1"/>
  </sheetPr>
  <dimension ref="A1:I79"/>
  <sheetViews>
    <sheetView tabSelected="1" zoomScaleNormal="100" workbookViewId="0">
      <selection activeCell="K11" sqref="K11"/>
    </sheetView>
  </sheetViews>
  <sheetFormatPr defaultRowHeight="15" x14ac:dyDescent="0.25"/>
  <cols>
    <col min="1" max="1" width="57.42578125" bestFit="1" customWidth="1"/>
    <col min="2" max="2" width="11" bestFit="1" customWidth="1"/>
    <col min="3" max="3" width="45.7109375" customWidth="1"/>
    <col min="4" max="4" width="7.7109375" customWidth="1"/>
    <col min="5" max="5" width="9.7109375" bestFit="1" customWidth="1"/>
    <col min="6" max="6" width="21.28515625" bestFit="1" customWidth="1"/>
    <col min="7" max="7" width="22.140625" customWidth="1"/>
    <col min="8" max="8" width="28.140625" style="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t="s">
        <v>322</v>
      </c>
    </row>
    <row r="2" spans="1:9" x14ac:dyDescent="0.25">
      <c r="A2" t="s">
        <v>76</v>
      </c>
      <c r="B2" s="2">
        <v>7</v>
      </c>
      <c r="C2" s="4" t="s">
        <v>293</v>
      </c>
      <c r="D2" t="s">
        <v>76</v>
      </c>
      <c r="E2" t="s">
        <v>76</v>
      </c>
      <c r="F2" t="s">
        <v>294</v>
      </c>
      <c r="G2" s="6" t="s">
        <v>295</v>
      </c>
      <c r="H2" s="1" t="s">
        <v>296</v>
      </c>
      <c r="I2">
        <f>PowerBoard2BOM_v34[[#This Row],[Quantity]]*5</f>
        <v>35</v>
      </c>
    </row>
    <row r="3" spans="1:9" x14ac:dyDescent="0.25">
      <c r="A3" t="s">
        <v>197</v>
      </c>
      <c r="B3">
        <v>2</v>
      </c>
      <c r="C3" t="s">
        <v>288</v>
      </c>
      <c r="D3" t="s">
        <v>198</v>
      </c>
      <c r="E3" t="s">
        <v>76</v>
      </c>
      <c r="F3" t="s">
        <v>199</v>
      </c>
      <c r="G3" s="3" t="s">
        <v>287</v>
      </c>
      <c r="H3" s="1" t="s">
        <v>200</v>
      </c>
      <c r="I3">
        <f>PowerBoard2BOM_v34[[#This Row],[Quantity]]*5</f>
        <v>10</v>
      </c>
    </row>
    <row r="4" spans="1:9" x14ac:dyDescent="0.25">
      <c r="A4" t="s">
        <v>123</v>
      </c>
      <c r="B4">
        <v>1</v>
      </c>
      <c r="C4" t="s">
        <v>318</v>
      </c>
      <c r="D4" t="s">
        <v>124</v>
      </c>
      <c r="E4" t="s">
        <v>76</v>
      </c>
      <c r="F4" s="4" t="s">
        <v>284</v>
      </c>
      <c r="G4" s="3" t="s">
        <v>285</v>
      </c>
      <c r="H4" s="1" t="s">
        <v>125</v>
      </c>
      <c r="I4">
        <f>PowerBoard2BOM_v34[[#This Row],[Quantity]]*5</f>
        <v>5</v>
      </c>
    </row>
    <row r="5" spans="1:9" x14ac:dyDescent="0.25">
      <c r="A5" t="s">
        <v>76</v>
      </c>
      <c r="B5" s="2">
        <v>1</v>
      </c>
      <c r="C5" s="4" t="s">
        <v>297</v>
      </c>
      <c r="D5" s="4" t="s">
        <v>298</v>
      </c>
      <c r="E5" t="s">
        <v>76</v>
      </c>
      <c r="F5" t="s">
        <v>47</v>
      </c>
      <c r="G5" s="6" t="s">
        <v>299</v>
      </c>
      <c r="H5" s="1" t="s">
        <v>300</v>
      </c>
      <c r="I5">
        <f>PowerBoard2BOM_v34[[#This Row],[Quantity]]*5</f>
        <v>5</v>
      </c>
    </row>
    <row r="6" spans="1:9" x14ac:dyDescent="0.25">
      <c r="A6" t="s">
        <v>44</v>
      </c>
      <c r="B6">
        <v>7</v>
      </c>
      <c r="C6" t="s">
        <v>45</v>
      </c>
      <c r="D6" t="s">
        <v>46</v>
      </c>
      <c r="E6" t="s">
        <v>76</v>
      </c>
      <c r="F6" t="s">
        <v>47</v>
      </c>
      <c r="G6" s="3" t="s">
        <v>286</v>
      </c>
      <c r="H6" s="1" t="s">
        <v>48</v>
      </c>
      <c r="I6">
        <f>PowerBoard2BOM_v34[[#This Row],[Quantity]]*5</f>
        <v>35</v>
      </c>
    </row>
    <row r="7" spans="1:9" x14ac:dyDescent="0.25">
      <c r="A7" t="s">
        <v>222</v>
      </c>
      <c r="B7">
        <v>1</v>
      </c>
      <c r="C7" t="s">
        <v>223</v>
      </c>
      <c r="D7" t="s">
        <v>43</v>
      </c>
      <c r="E7" t="s">
        <v>76</v>
      </c>
      <c r="F7" t="s">
        <v>47</v>
      </c>
      <c r="G7" s="3" t="s">
        <v>274</v>
      </c>
      <c r="H7" s="1" t="s">
        <v>224</v>
      </c>
      <c r="I7">
        <f>PowerBoard2BOM_v34[[#This Row],[Quantity]]*5</f>
        <v>5</v>
      </c>
    </row>
    <row r="8" spans="1:9" x14ac:dyDescent="0.25">
      <c r="A8" t="s">
        <v>41</v>
      </c>
      <c r="B8">
        <v>1</v>
      </c>
      <c r="C8" t="s">
        <v>326</v>
      </c>
      <c r="D8" t="s">
        <v>43</v>
      </c>
      <c r="E8" t="s">
        <v>76</v>
      </c>
      <c r="F8" t="s">
        <v>47</v>
      </c>
      <c r="G8" s="3" t="s">
        <v>274</v>
      </c>
      <c r="H8" s="1" t="s">
        <v>275</v>
      </c>
      <c r="I8">
        <f>PowerBoard2BOM_v34[[#This Row],[Quantity]]*5</f>
        <v>5</v>
      </c>
    </row>
    <row r="9" spans="1:9" x14ac:dyDescent="0.25">
      <c r="A9" t="s">
        <v>20</v>
      </c>
      <c r="B9">
        <v>3</v>
      </c>
      <c r="C9" t="s">
        <v>291</v>
      </c>
      <c r="D9" t="s">
        <v>22</v>
      </c>
      <c r="E9" t="s">
        <v>76</v>
      </c>
      <c r="F9" s="2" t="s">
        <v>47</v>
      </c>
      <c r="G9" s="3" t="s">
        <v>290</v>
      </c>
      <c r="H9" s="1" t="s">
        <v>21</v>
      </c>
      <c r="I9">
        <f>PowerBoard2BOM_v34[[#This Row],[Quantity]]*5</f>
        <v>15</v>
      </c>
    </row>
    <row r="10" spans="1:9" x14ac:dyDescent="0.25">
      <c r="A10" t="s">
        <v>55</v>
      </c>
      <c r="B10">
        <v>1</v>
      </c>
      <c r="C10" t="s">
        <v>56</v>
      </c>
      <c r="D10" t="s">
        <v>57</v>
      </c>
      <c r="E10" t="s">
        <v>76</v>
      </c>
      <c r="F10" t="s">
        <v>47</v>
      </c>
      <c r="G10" s="3" t="s">
        <v>58</v>
      </c>
      <c r="H10" s="1" t="s">
        <v>58</v>
      </c>
      <c r="I10">
        <f>PowerBoard2BOM_v34[[#This Row],[Quantity]]*5</f>
        <v>5</v>
      </c>
    </row>
    <row r="11" spans="1:9" x14ac:dyDescent="0.25">
      <c r="A11" t="s">
        <v>8</v>
      </c>
      <c r="B11">
        <v>1</v>
      </c>
      <c r="C11" t="s">
        <v>9</v>
      </c>
      <c r="D11" t="s">
        <v>10</v>
      </c>
      <c r="E11" t="s">
        <v>76</v>
      </c>
      <c r="F11" t="s">
        <v>47</v>
      </c>
      <c r="G11" s="3" t="s">
        <v>272</v>
      </c>
      <c r="H11" s="1" t="s">
        <v>273</v>
      </c>
      <c r="I11">
        <f>PowerBoard2BOM_v34[[#This Row],[Quantity]]*5</f>
        <v>5</v>
      </c>
    </row>
    <row r="12" spans="1:9" x14ac:dyDescent="0.25">
      <c r="A12" t="s">
        <v>74</v>
      </c>
      <c r="B12">
        <v>5</v>
      </c>
      <c r="C12" s="1" t="s">
        <v>269</v>
      </c>
      <c r="D12" t="s">
        <v>75</v>
      </c>
      <c r="E12" t="s">
        <v>76</v>
      </c>
      <c r="F12" s="2" t="s">
        <v>270</v>
      </c>
      <c r="G12" s="3" t="s">
        <v>271</v>
      </c>
      <c r="H12" s="1" t="s">
        <v>268</v>
      </c>
      <c r="I12">
        <f>PowerBoard2BOM_v34[[#This Row],[Quantity]]*5</f>
        <v>25</v>
      </c>
    </row>
    <row r="13" spans="1:9" x14ac:dyDescent="0.25">
      <c r="A13" t="s">
        <v>277</v>
      </c>
      <c r="B13">
        <v>1</v>
      </c>
      <c r="C13" t="s">
        <v>236</v>
      </c>
      <c r="D13" t="s">
        <v>236</v>
      </c>
      <c r="E13" t="s">
        <v>76</v>
      </c>
      <c r="F13" t="s">
        <v>276</v>
      </c>
      <c r="G13" s="3" t="s">
        <v>278</v>
      </c>
      <c r="H13" s="1" t="s">
        <v>279</v>
      </c>
      <c r="I13">
        <f>PowerBoard2BOM_v34[[#This Row],[Quantity]]*5</f>
        <v>5</v>
      </c>
    </row>
    <row r="14" spans="1:9" x14ac:dyDescent="0.25">
      <c r="A14" t="s">
        <v>126</v>
      </c>
      <c r="B14">
        <v>2</v>
      </c>
      <c r="C14" t="s">
        <v>127</v>
      </c>
      <c r="D14" t="s">
        <v>127</v>
      </c>
      <c r="E14" t="s">
        <v>76</v>
      </c>
      <c r="F14" t="s">
        <v>129</v>
      </c>
      <c r="G14" s="3" t="s">
        <v>283</v>
      </c>
      <c r="H14" s="1" t="s">
        <v>128</v>
      </c>
      <c r="I14">
        <f>PowerBoard2BOM_v34[[#This Row],[Quantity]]*5</f>
        <v>10</v>
      </c>
    </row>
    <row r="15" spans="1:9" x14ac:dyDescent="0.25">
      <c r="A15" t="s">
        <v>52</v>
      </c>
      <c r="B15">
        <v>1</v>
      </c>
      <c r="C15" t="s">
        <v>54</v>
      </c>
      <c r="D15" t="s">
        <v>53</v>
      </c>
      <c r="E15" t="s">
        <v>76</v>
      </c>
      <c r="F15" t="s">
        <v>129</v>
      </c>
      <c r="G15" s="3" t="s">
        <v>282</v>
      </c>
      <c r="H15" s="1" t="s">
        <v>281</v>
      </c>
      <c r="I15">
        <f>PowerBoard2BOM_v34[[#This Row],[Quantity]]*5</f>
        <v>5</v>
      </c>
    </row>
    <row r="16" spans="1:9" x14ac:dyDescent="0.25">
      <c r="A16" t="s">
        <v>241</v>
      </c>
      <c r="B16">
        <v>1</v>
      </c>
      <c r="C16" t="s">
        <v>292</v>
      </c>
      <c r="D16" t="s">
        <v>242</v>
      </c>
      <c r="E16" t="s">
        <v>76</v>
      </c>
      <c r="F16" t="s">
        <v>244</v>
      </c>
      <c r="G16" s="6" t="s">
        <v>243</v>
      </c>
      <c r="H16" s="1" t="s">
        <v>245</v>
      </c>
      <c r="I16">
        <f>PowerBoard2BOM_v34[[#This Row],[Quantity]]*5</f>
        <v>5</v>
      </c>
    </row>
    <row r="17" spans="1:9" x14ac:dyDescent="0.25">
      <c r="A17" t="s">
        <v>86</v>
      </c>
      <c r="B17">
        <v>4</v>
      </c>
      <c r="C17" t="s">
        <v>90</v>
      </c>
      <c r="D17" t="s">
        <v>87</v>
      </c>
      <c r="E17" t="s">
        <v>76</v>
      </c>
      <c r="F17" t="s">
        <v>89</v>
      </c>
      <c r="G17" t="s">
        <v>88</v>
      </c>
      <c r="H17" s="1" t="s">
        <v>90</v>
      </c>
      <c r="I17">
        <f>PowerBoard2BOM_v34[[#This Row],[Quantity]]*5</f>
        <v>20</v>
      </c>
    </row>
    <row r="18" spans="1:9" x14ac:dyDescent="0.25">
      <c r="A18" s="13" t="s">
        <v>146</v>
      </c>
      <c r="B18" s="13">
        <v>1</v>
      </c>
      <c r="C18" s="13" t="s">
        <v>147</v>
      </c>
      <c r="D18" s="13" t="s">
        <v>148</v>
      </c>
      <c r="E18" s="13" t="s">
        <v>76</v>
      </c>
      <c r="F18" s="14" t="s">
        <v>89</v>
      </c>
      <c r="G18" s="15" t="s">
        <v>289</v>
      </c>
      <c r="H18" s="16" t="s">
        <v>149</v>
      </c>
      <c r="I18" s="13">
        <f>PowerBoard2BOM_v34[[#This Row],[Quantity]]*5</f>
        <v>5</v>
      </c>
    </row>
    <row r="19" spans="1:9" x14ac:dyDescent="0.25">
      <c r="A19" t="s">
        <v>163</v>
      </c>
      <c r="B19">
        <v>1</v>
      </c>
      <c r="C19" t="s">
        <v>314</v>
      </c>
      <c r="D19" t="s">
        <v>164</v>
      </c>
      <c r="E19" t="s">
        <v>76</v>
      </c>
      <c r="F19" t="s">
        <v>89</v>
      </c>
      <c r="G19" t="s">
        <v>165</v>
      </c>
      <c r="H19" s="1" t="s">
        <v>166</v>
      </c>
      <c r="I19">
        <f>PowerBoard2BOM_v34[[#This Row],[Quantity]]*5</f>
        <v>5</v>
      </c>
    </row>
    <row r="20" spans="1:9" x14ac:dyDescent="0.25">
      <c r="A20" t="s">
        <v>218</v>
      </c>
      <c r="B20">
        <v>1</v>
      </c>
      <c r="C20" t="s">
        <v>313</v>
      </c>
      <c r="D20" t="s">
        <v>219</v>
      </c>
      <c r="E20" t="s">
        <v>76</v>
      </c>
      <c r="F20" t="s">
        <v>89</v>
      </c>
      <c r="G20" t="s">
        <v>220</v>
      </c>
      <c r="H20" s="1" t="s">
        <v>221</v>
      </c>
      <c r="I20">
        <f>PowerBoard2BOM_v34[[#This Row],[Quantity]]*5</f>
        <v>5</v>
      </c>
    </row>
    <row r="21" spans="1:9" x14ac:dyDescent="0.25">
      <c r="A21" t="s">
        <v>11</v>
      </c>
      <c r="B21">
        <v>1</v>
      </c>
      <c r="C21" t="s">
        <v>12</v>
      </c>
      <c r="D21" s="1">
        <v>691219610002</v>
      </c>
      <c r="E21" t="s">
        <v>76</v>
      </c>
      <c r="F21" t="s">
        <v>267</v>
      </c>
      <c r="G21" s="3" t="s">
        <v>280</v>
      </c>
      <c r="H21" s="1" t="s">
        <v>13</v>
      </c>
      <c r="I21">
        <f>PowerBoard2BOM_v34[[#This Row],[Quantity]]*5</f>
        <v>5</v>
      </c>
    </row>
    <row r="22" spans="1:9" x14ac:dyDescent="0.25">
      <c r="A22" t="s">
        <v>76</v>
      </c>
      <c r="B22" s="2">
        <v>3</v>
      </c>
      <c r="C22" t="s">
        <v>301</v>
      </c>
      <c r="D22" t="s">
        <v>76</v>
      </c>
      <c r="E22" t="s">
        <v>76</v>
      </c>
      <c r="F22" t="s">
        <v>267</v>
      </c>
      <c r="G22" s="6" t="s">
        <v>302</v>
      </c>
      <c r="H22" s="8">
        <v>691361100006</v>
      </c>
      <c r="I22">
        <f>PowerBoard2BOM_v34[[#This Row],[Quantity]]*5</f>
        <v>15</v>
      </c>
    </row>
    <row r="23" spans="1:9" x14ac:dyDescent="0.25">
      <c r="A23" t="s">
        <v>76</v>
      </c>
      <c r="B23" s="2">
        <v>1</v>
      </c>
      <c r="C23" t="s">
        <v>303</v>
      </c>
      <c r="D23" t="s">
        <v>76</v>
      </c>
      <c r="E23" t="s">
        <v>76</v>
      </c>
      <c r="F23" t="s">
        <v>267</v>
      </c>
      <c r="G23" s="6" t="s">
        <v>302</v>
      </c>
      <c r="H23" s="8">
        <v>691361100004</v>
      </c>
      <c r="I23">
        <f>PowerBoard2BOM_v34[[#This Row],[Quantity]]*5</f>
        <v>5</v>
      </c>
    </row>
    <row r="24" spans="1:9" x14ac:dyDescent="0.25">
      <c r="A24" t="s">
        <v>76</v>
      </c>
      <c r="B24" s="2">
        <v>3</v>
      </c>
      <c r="C24" t="s">
        <v>304</v>
      </c>
      <c r="D24" t="s">
        <v>76</v>
      </c>
      <c r="E24" t="s">
        <v>76</v>
      </c>
      <c r="F24" t="s">
        <v>267</v>
      </c>
      <c r="G24" s="6" t="s">
        <v>305</v>
      </c>
      <c r="H24" s="1">
        <v>60800213421</v>
      </c>
      <c r="I24">
        <v>20</v>
      </c>
    </row>
    <row r="25" spans="1:9" x14ac:dyDescent="0.25">
      <c r="A25" t="s">
        <v>76</v>
      </c>
      <c r="B25" s="2">
        <v>4</v>
      </c>
      <c r="C25" s="4" t="s">
        <v>311</v>
      </c>
      <c r="D25" t="s">
        <v>76</v>
      </c>
      <c r="E25" t="s">
        <v>76</v>
      </c>
      <c r="F25" t="s">
        <v>267</v>
      </c>
      <c r="G25" s="11" t="s">
        <v>306</v>
      </c>
      <c r="H25" s="1">
        <v>971120365</v>
      </c>
      <c r="I25">
        <f>PowerBoard2BOM_v34[[#This Row],[Quantity]]*5</f>
        <v>20</v>
      </c>
    </row>
    <row r="26" spans="1:9" x14ac:dyDescent="0.25">
      <c r="A26" t="s">
        <v>76</v>
      </c>
      <c r="B26" s="2">
        <v>4</v>
      </c>
      <c r="C26" t="s">
        <v>307</v>
      </c>
      <c r="D26" t="s">
        <v>76</v>
      </c>
      <c r="E26" t="s">
        <v>76</v>
      </c>
      <c r="F26" t="s">
        <v>267</v>
      </c>
      <c r="G26" s="10" t="s">
        <v>312</v>
      </c>
      <c r="H26" s="8">
        <v>960020042</v>
      </c>
      <c r="I26">
        <f>PowerBoard2BOM_v34[[#This Row],[Quantity]]*5</f>
        <v>20</v>
      </c>
    </row>
    <row r="27" spans="1:9" x14ac:dyDescent="0.25">
      <c r="A27" t="s">
        <v>76</v>
      </c>
      <c r="B27" s="2">
        <v>4</v>
      </c>
      <c r="C27" t="s">
        <v>308</v>
      </c>
      <c r="D27" t="s">
        <v>76</v>
      </c>
      <c r="E27" t="s">
        <v>76</v>
      </c>
      <c r="F27" t="s">
        <v>267</v>
      </c>
      <c r="G27" s="10" t="s">
        <v>320</v>
      </c>
      <c r="H27" s="8">
        <v>970050365</v>
      </c>
      <c r="I27">
        <f>PowerBoard2BOM_v34[[#This Row],[Quantity]]*5</f>
        <v>20</v>
      </c>
    </row>
    <row r="28" spans="1:9" x14ac:dyDescent="0.25">
      <c r="A28" t="s">
        <v>91</v>
      </c>
      <c r="B28">
        <v>2</v>
      </c>
      <c r="C28" t="s">
        <v>92</v>
      </c>
      <c r="D28" t="s">
        <v>93</v>
      </c>
      <c r="E28" t="s">
        <v>76</v>
      </c>
      <c r="F28" t="s">
        <v>267</v>
      </c>
      <c r="G28" t="s">
        <v>94</v>
      </c>
      <c r="H28" s="1" t="s">
        <v>93</v>
      </c>
      <c r="I28">
        <f>PowerBoard2BOM_v34[[#This Row],[Quantity]]*5</f>
        <v>10</v>
      </c>
    </row>
    <row r="29" spans="1:9" x14ac:dyDescent="0.25">
      <c r="A29" t="s">
        <v>37</v>
      </c>
      <c r="B29">
        <v>2</v>
      </c>
      <c r="C29" t="s">
        <v>38</v>
      </c>
      <c r="D29" t="s">
        <v>39</v>
      </c>
      <c r="E29" t="s">
        <v>76</v>
      </c>
      <c r="F29" t="s">
        <v>267</v>
      </c>
      <c r="G29" t="s">
        <v>40</v>
      </c>
      <c r="H29" s="1" t="s">
        <v>39</v>
      </c>
      <c r="I29">
        <f>PowerBoard2BOM_v34[[#This Row],[Quantity]]*5</f>
        <v>10</v>
      </c>
    </row>
    <row r="30" spans="1:9" x14ac:dyDescent="0.25">
      <c r="A30" t="s">
        <v>171</v>
      </c>
      <c r="B30">
        <v>2</v>
      </c>
      <c r="C30" t="s">
        <v>172</v>
      </c>
      <c r="D30" t="s">
        <v>173</v>
      </c>
      <c r="E30" t="s">
        <v>76</v>
      </c>
      <c r="F30" t="s">
        <v>267</v>
      </c>
      <c r="G30" t="s">
        <v>174</v>
      </c>
      <c r="H30" s="1" t="s">
        <v>173</v>
      </c>
      <c r="I30">
        <f>PowerBoard2BOM_v34[[#This Row],[Quantity]]*5</f>
        <v>10</v>
      </c>
    </row>
    <row r="31" spans="1:9" x14ac:dyDescent="0.25">
      <c r="A31" t="s">
        <v>182</v>
      </c>
      <c r="B31">
        <v>3</v>
      </c>
      <c r="C31" t="s">
        <v>183</v>
      </c>
      <c r="D31" t="s">
        <v>184</v>
      </c>
      <c r="E31" t="s">
        <v>76</v>
      </c>
      <c r="F31" t="s">
        <v>267</v>
      </c>
      <c r="G31" t="s">
        <v>185</v>
      </c>
      <c r="H31" s="1" t="s">
        <v>184</v>
      </c>
      <c r="I31">
        <f>PowerBoard2BOM_v34[[#This Row],[Quantity]]*5</f>
        <v>15</v>
      </c>
    </row>
    <row r="32" spans="1:9" x14ac:dyDescent="0.25">
      <c r="A32" t="s">
        <v>234</v>
      </c>
      <c r="B32">
        <v>1</v>
      </c>
      <c r="C32" t="s">
        <v>12</v>
      </c>
      <c r="D32" t="s">
        <v>235</v>
      </c>
      <c r="E32" t="s">
        <v>76</v>
      </c>
      <c r="F32" t="s">
        <v>267</v>
      </c>
      <c r="G32" s="3" t="s">
        <v>280</v>
      </c>
      <c r="H32" s="1">
        <v>691219610003</v>
      </c>
      <c r="I32">
        <f>PowerBoard2BOM_v34[[#This Row],[Quantity]]*5</f>
        <v>5</v>
      </c>
    </row>
    <row r="33" spans="1:9" x14ac:dyDescent="0.25">
      <c r="A33" t="s">
        <v>23</v>
      </c>
      <c r="B33">
        <v>1</v>
      </c>
      <c r="C33" t="s">
        <v>24</v>
      </c>
      <c r="D33" t="s">
        <v>25</v>
      </c>
      <c r="E33" t="s">
        <v>76</v>
      </c>
      <c r="F33" t="s">
        <v>267</v>
      </c>
      <c r="G33" t="s">
        <v>26</v>
      </c>
      <c r="H33" s="1" t="s">
        <v>25</v>
      </c>
      <c r="I33">
        <f>PowerBoard2BOM_v34[[#This Row],[Quantity]]*5</f>
        <v>5</v>
      </c>
    </row>
    <row r="34" spans="1:9" x14ac:dyDescent="0.25">
      <c r="A34" t="s">
        <v>77</v>
      </c>
      <c r="B34">
        <v>3</v>
      </c>
      <c r="C34" t="s">
        <v>24</v>
      </c>
      <c r="D34" t="s">
        <v>78</v>
      </c>
      <c r="E34" t="s">
        <v>76</v>
      </c>
      <c r="F34" t="s">
        <v>267</v>
      </c>
      <c r="G34" t="s">
        <v>79</v>
      </c>
      <c r="H34" s="1" t="s">
        <v>78</v>
      </c>
      <c r="I34">
        <f>PowerBoard2BOM_v34[[#This Row],[Quantity]]*5</f>
        <v>15</v>
      </c>
    </row>
    <row r="35" spans="1:9" x14ac:dyDescent="0.25">
      <c r="A35" t="s">
        <v>76</v>
      </c>
      <c r="B35" s="2">
        <v>1</v>
      </c>
      <c r="C35" t="s">
        <v>321</v>
      </c>
      <c r="D35" t="s">
        <v>316</v>
      </c>
      <c r="E35" t="s">
        <v>76</v>
      </c>
      <c r="F35" t="s">
        <v>267</v>
      </c>
      <c r="G35" s="3" t="s">
        <v>317</v>
      </c>
      <c r="H35" s="8">
        <v>2610059035001</v>
      </c>
      <c r="I35">
        <v>1</v>
      </c>
    </row>
    <row r="36" spans="1:9" x14ac:dyDescent="0.25">
      <c r="A36" t="s">
        <v>192</v>
      </c>
      <c r="B36">
        <v>5</v>
      </c>
      <c r="C36" t="s">
        <v>109</v>
      </c>
      <c r="D36" t="s">
        <v>193</v>
      </c>
      <c r="E36" t="s">
        <v>194</v>
      </c>
      <c r="F36" t="s">
        <v>267</v>
      </c>
      <c r="G36" t="s">
        <v>195</v>
      </c>
      <c r="H36" s="1" t="s">
        <v>196</v>
      </c>
      <c r="I36">
        <f>PowerBoard2BOM_v34[[#This Row],[Quantity]]*5</f>
        <v>25</v>
      </c>
    </row>
    <row r="37" spans="1:9" s="9" customFormat="1" x14ac:dyDescent="0.25">
      <c r="A37" t="s">
        <v>108</v>
      </c>
      <c r="B37">
        <v>9</v>
      </c>
      <c r="C37" t="s">
        <v>109</v>
      </c>
      <c r="D37" t="s">
        <v>110</v>
      </c>
      <c r="E37" t="s">
        <v>111</v>
      </c>
      <c r="F37" t="s">
        <v>267</v>
      </c>
      <c r="G37" t="s">
        <v>112</v>
      </c>
      <c r="H37" s="1" t="s">
        <v>113</v>
      </c>
      <c r="I37">
        <f>PowerBoard2BOM_v34[[#This Row],[Quantity]]*5</f>
        <v>45</v>
      </c>
    </row>
    <row r="38" spans="1:9" x14ac:dyDescent="0.25">
      <c r="A38" t="s">
        <v>99</v>
      </c>
      <c r="B38">
        <v>4</v>
      </c>
      <c r="C38" t="s">
        <v>100</v>
      </c>
      <c r="D38" t="s">
        <v>101</v>
      </c>
      <c r="E38" t="s">
        <v>102</v>
      </c>
      <c r="F38" t="s">
        <v>267</v>
      </c>
      <c r="G38" t="s">
        <v>103</v>
      </c>
      <c r="H38" s="1" t="s">
        <v>104</v>
      </c>
      <c r="I38">
        <f>PowerBoard2BOM_v34[[#This Row],[Quantity]]*5</f>
        <v>20</v>
      </c>
    </row>
    <row r="39" spans="1:9" x14ac:dyDescent="0.25">
      <c r="A39" t="s">
        <v>210</v>
      </c>
      <c r="B39">
        <v>12</v>
      </c>
      <c r="C39" t="s">
        <v>100</v>
      </c>
      <c r="D39" t="s">
        <v>115</v>
      </c>
      <c r="E39" t="s">
        <v>211</v>
      </c>
      <c r="F39" t="s">
        <v>267</v>
      </c>
      <c r="G39" t="s">
        <v>212</v>
      </c>
      <c r="H39" s="1" t="s">
        <v>213</v>
      </c>
      <c r="I39">
        <f>PowerBoard2BOM_v34[[#This Row],[Quantity]]*5</f>
        <v>60</v>
      </c>
    </row>
    <row r="40" spans="1:9" x14ac:dyDescent="0.25">
      <c r="A40" t="s">
        <v>114</v>
      </c>
      <c r="B40">
        <v>5</v>
      </c>
      <c r="C40" t="s">
        <v>32</v>
      </c>
      <c r="D40" t="s">
        <v>115</v>
      </c>
      <c r="E40" t="s">
        <v>116</v>
      </c>
      <c r="F40" t="s">
        <v>267</v>
      </c>
      <c r="G40" t="s">
        <v>117</v>
      </c>
      <c r="H40" s="1" t="s">
        <v>118</v>
      </c>
      <c r="I40">
        <f>PowerBoard2BOM_v34[[#This Row],[Quantity]]*5</f>
        <v>25</v>
      </c>
    </row>
    <row r="41" spans="1:9" x14ac:dyDescent="0.25">
      <c r="A41" t="s">
        <v>262</v>
      </c>
      <c r="B41">
        <v>1</v>
      </c>
      <c r="C41" t="s">
        <v>100</v>
      </c>
      <c r="D41" t="s">
        <v>263</v>
      </c>
      <c r="E41" t="s">
        <v>264</v>
      </c>
      <c r="F41" t="s">
        <v>267</v>
      </c>
      <c r="G41" t="s">
        <v>265</v>
      </c>
      <c r="H41" s="1" t="s">
        <v>266</v>
      </c>
      <c r="I41">
        <f>PowerBoard2BOM_v34[[#This Row],[Quantity]]*5</f>
        <v>5</v>
      </c>
    </row>
    <row r="42" spans="1:9" x14ac:dyDescent="0.25">
      <c r="A42" t="s">
        <v>225</v>
      </c>
      <c r="B42">
        <v>2</v>
      </c>
      <c r="C42" t="s">
        <v>32</v>
      </c>
      <c r="D42" t="s">
        <v>65</v>
      </c>
      <c r="E42" t="s">
        <v>116</v>
      </c>
      <c r="F42" t="s">
        <v>267</v>
      </c>
      <c r="G42" t="s">
        <v>226</v>
      </c>
      <c r="H42" s="1" t="s">
        <v>227</v>
      </c>
      <c r="I42">
        <f>PowerBoard2BOM_v34[[#This Row],[Quantity]]*5</f>
        <v>10</v>
      </c>
    </row>
    <row r="43" spans="1:9" x14ac:dyDescent="0.25">
      <c r="A43" t="s">
        <v>69</v>
      </c>
      <c r="B43">
        <v>1</v>
      </c>
      <c r="C43" t="s">
        <v>70</v>
      </c>
      <c r="D43" t="s">
        <v>65</v>
      </c>
      <c r="E43" t="s">
        <v>71</v>
      </c>
      <c r="F43" t="s">
        <v>267</v>
      </c>
      <c r="G43" t="s">
        <v>72</v>
      </c>
      <c r="H43" s="1" t="s">
        <v>73</v>
      </c>
      <c r="I43">
        <f>PowerBoard2BOM_v34[[#This Row],[Quantity]]*5</f>
        <v>5</v>
      </c>
    </row>
    <row r="44" spans="1:9" x14ac:dyDescent="0.25">
      <c r="A44" t="s">
        <v>64</v>
      </c>
      <c r="B44">
        <v>2</v>
      </c>
      <c r="C44" t="s">
        <v>32</v>
      </c>
      <c r="D44" t="s">
        <v>65</v>
      </c>
      <c r="E44" t="s">
        <v>66</v>
      </c>
      <c r="F44" t="s">
        <v>267</v>
      </c>
      <c r="G44" t="s">
        <v>67</v>
      </c>
      <c r="H44" s="1" t="s">
        <v>68</v>
      </c>
      <c r="I44">
        <f>PowerBoard2BOM_v34[[#This Row],[Quantity]]*5</f>
        <v>10</v>
      </c>
    </row>
    <row r="45" spans="1:9" x14ac:dyDescent="0.25">
      <c r="A45" t="s">
        <v>258</v>
      </c>
      <c r="B45">
        <v>10</v>
      </c>
      <c r="C45" t="s">
        <v>32</v>
      </c>
      <c r="D45" t="s">
        <v>65</v>
      </c>
      <c r="E45" t="s">
        <v>259</v>
      </c>
      <c r="F45" t="s">
        <v>267</v>
      </c>
      <c r="G45" t="s">
        <v>260</v>
      </c>
      <c r="H45" s="1" t="s">
        <v>261</v>
      </c>
      <c r="I45">
        <f>PowerBoard2BOM_v34[[#This Row],[Quantity]]*5</f>
        <v>50</v>
      </c>
    </row>
    <row r="46" spans="1:9" x14ac:dyDescent="0.25">
      <c r="A46" t="s">
        <v>119</v>
      </c>
      <c r="B46">
        <v>6</v>
      </c>
      <c r="C46" t="s">
        <v>100</v>
      </c>
      <c r="D46" t="s">
        <v>65</v>
      </c>
      <c r="E46" t="s">
        <v>120</v>
      </c>
      <c r="F46" t="s">
        <v>267</v>
      </c>
      <c r="G46" t="s">
        <v>121</v>
      </c>
      <c r="H46" s="1" t="s">
        <v>122</v>
      </c>
      <c r="I46">
        <f>PowerBoard2BOM_v34[[#This Row],[Quantity]]*5</f>
        <v>30</v>
      </c>
    </row>
    <row r="47" spans="1:9" x14ac:dyDescent="0.25">
      <c r="A47" t="s">
        <v>130</v>
      </c>
      <c r="B47">
        <v>1</v>
      </c>
      <c r="C47" t="s">
        <v>32</v>
      </c>
      <c r="D47" t="s">
        <v>65</v>
      </c>
      <c r="E47" t="s">
        <v>131</v>
      </c>
      <c r="F47" t="s">
        <v>267</v>
      </c>
      <c r="G47" t="s">
        <v>132</v>
      </c>
      <c r="H47" s="1" t="s">
        <v>133</v>
      </c>
      <c r="I47">
        <f>PowerBoard2BOM_v34[[#This Row],[Quantity]]*5</f>
        <v>5</v>
      </c>
    </row>
    <row r="48" spans="1:9" x14ac:dyDescent="0.25">
      <c r="A48" t="s">
        <v>31</v>
      </c>
      <c r="B48">
        <v>14</v>
      </c>
      <c r="C48" t="s">
        <v>32</v>
      </c>
      <c r="D48" t="s">
        <v>33</v>
      </c>
      <c r="E48" t="s">
        <v>34</v>
      </c>
      <c r="F48" t="s">
        <v>267</v>
      </c>
      <c r="G48" t="s">
        <v>35</v>
      </c>
      <c r="H48" s="1" t="s">
        <v>36</v>
      </c>
      <c r="I48">
        <f>PowerBoard2BOM_v34[[#This Row],[Quantity]]*5</f>
        <v>70</v>
      </c>
    </row>
    <row r="49" spans="1:9" x14ac:dyDescent="0.25">
      <c r="A49" t="s">
        <v>201</v>
      </c>
      <c r="B49">
        <v>7</v>
      </c>
      <c r="C49" t="s">
        <v>32</v>
      </c>
      <c r="D49" t="s">
        <v>202</v>
      </c>
      <c r="E49" t="s">
        <v>203</v>
      </c>
      <c r="F49" t="s">
        <v>267</v>
      </c>
      <c r="G49" t="s">
        <v>204</v>
      </c>
      <c r="H49" s="1" t="s">
        <v>205</v>
      </c>
      <c r="I49">
        <f>PowerBoard2BOM_v34[[#This Row],[Quantity]]*5</f>
        <v>35</v>
      </c>
    </row>
    <row r="50" spans="1:9" x14ac:dyDescent="0.25">
      <c r="A50" t="s">
        <v>138</v>
      </c>
      <c r="B50">
        <v>2</v>
      </c>
      <c r="C50" t="s">
        <v>70</v>
      </c>
      <c r="D50" t="s">
        <v>139</v>
      </c>
      <c r="E50" t="s">
        <v>140</v>
      </c>
      <c r="F50" t="s">
        <v>267</v>
      </c>
      <c r="G50" t="s">
        <v>141</v>
      </c>
      <c r="H50" s="1" t="s">
        <v>142</v>
      </c>
      <c r="I50">
        <f>PowerBoard2BOM_v34[[#This Row],[Quantity]]*5</f>
        <v>10</v>
      </c>
    </row>
    <row r="51" spans="1:9" x14ac:dyDescent="0.25">
      <c r="A51" t="s">
        <v>206</v>
      </c>
      <c r="B51">
        <v>1</v>
      </c>
      <c r="C51" t="s">
        <v>81</v>
      </c>
      <c r="D51" t="s">
        <v>82</v>
      </c>
      <c r="E51" t="s">
        <v>207</v>
      </c>
      <c r="F51" t="s">
        <v>267</v>
      </c>
      <c r="G51" t="s">
        <v>208</v>
      </c>
      <c r="H51" s="1" t="s">
        <v>209</v>
      </c>
      <c r="I51">
        <f>PowerBoard2BOM_v34[[#This Row],[Quantity]]*5</f>
        <v>5</v>
      </c>
    </row>
    <row r="52" spans="1:9" x14ac:dyDescent="0.25">
      <c r="A52" t="s">
        <v>80</v>
      </c>
      <c r="B52">
        <v>1</v>
      </c>
      <c r="C52" t="s">
        <v>81</v>
      </c>
      <c r="D52" t="s">
        <v>82</v>
      </c>
      <c r="E52" t="s">
        <v>83</v>
      </c>
      <c r="F52" t="s">
        <v>267</v>
      </c>
      <c r="G52" t="s">
        <v>84</v>
      </c>
      <c r="H52" s="1" t="s">
        <v>85</v>
      </c>
      <c r="I52">
        <f>PowerBoard2BOM_v34[[#This Row],[Quantity]]*5</f>
        <v>5</v>
      </c>
    </row>
    <row r="53" spans="1:9" x14ac:dyDescent="0.25">
      <c r="A53" t="s">
        <v>231</v>
      </c>
      <c r="B53">
        <v>2</v>
      </c>
      <c r="C53" t="s">
        <v>323</v>
      </c>
      <c r="D53" t="s">
        <v>135</v>
      </c>
      <c r="E53" t="s">
        <v>76</v>
      </c>
      <c r="F53" t="s">
        <v>267</v>
      </c>
      <c r="G53" t="s">
        <v>233</v>
      </c>
      <c r="H53" s="1" t="s">
        <v>232</v>
      </c>
      <c r="I53">
        <f>PowerBoard2BOM_v34[[#This Row],[Quantity]]*5</f>
        <v>10</v>
      </c>
    </row>
    <row r="54" spans="1:9" x14ac:dyDescent="0.25">
      <c r="A54" s="9" t="s">
        <v>156</v>
      </c>
      <c r="B54" s="9">
        <v>1</v>
      </c>
      <c r="C54" s="9" t="s">
        <v>324</v>
      </c>
      <c r="D54" s="9" t="s">
        <v>135</v>
      </c>
      <c r="E54" s="9" t="s">
        <v>76</v>
      </c>
      <c r="F54" s="9" t="s">
        <v>267</v>
      </c>
      <c r="G54" s="9" t="s">
        <v>158</v>
      </c>
      <c r="H54" s="12" t="s">
        <v>157</v>
      </c>
      <c r="I54" s="9">
        <f>PowerBoard2BOM_v34[[#This Row],[Quantity]]*5</f>
        <v>5</v>
      </c>
    </row>
    <row r="55" spans="1:9" x14ac:dyDescent="0.25">
      <c r="A55" t="s">
        <v>134</v>
      </c>
      <c r="B55">
        <v>1</v>
      </c>
      <c r="C55" t="s">
        <v>325</v>
      </c>
      <c r="D55" t="s">
        <v>135</v>
      </c>
      <c r="E55" t="s">
        <v>76</v>
      </c>
      <c r="F55" t="s">
        <v>267</v>
      </c>
      <c r="G55" t="s">
        <v>137</v>
      </c>
      <c r="H55" s="1" t="s">
        <v>136</v>
      </c>
      <c r="I55">
        <f>PowerBoard2BOM_v34[[#This Row],[Quantity]]*5</f>
        <v>5</v>
      </c>
    </row>
    <row r="56" spans="1:9" x14ac:dyDescent="0.25">
      <c r="A56" t="s">
        <v>186</v>
      </c>
      <c r="B56">
        <v>5</v>
      </c>
      <c r="C56" t="s">
        <v>187</v>
      </c>
      <c r="D56" t="s">
        <v>188</v>
      </c>
      <c r="E56" t="s">
        <v>189</v>
      </c>
      <c r="F56" t="s">
        <v>267</v>
      </c>
      <c r="G56" t="s">
        <v>190</v>
      </c>
      <c r="H56" s="1" t="s">
        <v>191</v>
      </c>
      <c r="I56">
        <f>PowerBoard2BOM_v34[[#This Row],[Quantity]]*5</f>
        <v>25</v>
      </c>
    </row>
    <row r="57" spans="1:9" x14ac:dyDescent="0.25">
      <c r="A57" t="s">
        <v>49</v>
      </c>
      <c r="B57">
        <v>3</v>
      </c>
      <c r="C57" t="s">
        <v>15</v>
      </c>
      <c r="D57" t="s">
        <v>16</v>
      </c>
      <c r="E57" t="s">
        <v>50</v>
      </c>
      <c r="F57" t="s">
        <v>267</v>
      </c>
      <c r="G57" t="s">
        <v>29</v>
      </c>
      <c r="H57" s="1" t="s">
        <v>51</v>
      </c>
      <c r="I57">
        <f>PowerBoard2BOM_v34[[#This Row],[Quantity]]*5</f>
        <v>15</v>
      </c>
    </row>
    <row r="58" spans="1:9" x14ac:dyDescent="0.25">
      <c r="A58" t="s">
        <v>178</v>
      </c>
      <c r="B58">
        <v>2</v>
      </c>
      <c r="C58" t="s">
        <v>15</v>
      </c>
      <c r="D58" t="s">
        <v>16</v>
      </c>
      <c r="E58" t="s">
        <v>179</v>
      </c>
      <c r="F58" t="s">
        <v>267</v>
      </c>
      <c r="G58" t="s">
        <v>180</v>
      </c>
      <c r="H58" s="1" t="s">
        <v>181</v>
      </c>
      <c r="I58">
        <f>PowerBoard2BOM_v34[[#This Row],[Quantity]]*5</f>
        <v>10</v>
      </c>
    </row>
    <row r="59" spans="1:9" x14ac:dyDescent="0.25">
      <c r="A59" t="s">
        <v>237</v>
      </c>
      <c r="B59">
        <v>2</v>
      </c>
      <c r="C59" t="s">
        <v>15</v>
      </c>
      <c r="D59" t="s">
        <v>16</v>
      </c>
      <c r="E59" t="s">
        <v>238</v>
      </c>
      <c r="F59" t="s">
        <v>267</v>
      </c>
      <c r="G59" t="s">
        <v>239</v>
      </c>
      <c r="H59" s="1" t="s">
        <v>240</v>
      </c>
      <c r="I59">
        <f>PowerBoard2BOM_v34[[#This Row],[Quantity]]*5</f>
        <v>10</v>
      </c>
    </row>
    <row r="60" spans="1:9" x14ac:dyDescent="0.25">
      <c r="A60" t="s">
        <v>27</v>
      </c>
      <c r="B60">
        <v>2</v>
      </c>
      <c r="C60" t="s">
        <v>15</v>
      </c>
      <c r="D60" t="s">
        <v>16</v>
      </c>
      <c r="E60" t="s">
        <v>28</v>
      </c>
      <c r="F60" t="s">
        <v>267</v>
      </c>
      <c r="G60" t="s">
        <v>29</v>
      </c>
      <c r="H60" s="1" t="s">
        <v>30</v>
      </c>
      <c r="I60">
        <f>PowerBoard2BOM_v34[[#This Row],[Quantity]]*5</f>
        <v>10</v>
      </c>
    </row>
    <row r="61" spans="1:9" x14ac:dyDescent="0.25">
      <c r="A61" t="s">
        <v>167</v>
      </c>
      <c r="B61">
        <v>1</v>
      </c>
      <c r="C61" t="s">
        <v>15</v>
      </c>
      <c r="D61" t="s">
        <v>16</v>
      </c>
      <c r="E61" t="s">
        <v>168</v>
      </c>
      <c r="F61" t="s">
        <v>267</v>
      </c>
      <c r="G61" t="s">
        <v>169</v>
      </c>
      <c r="H61" s="1" t="s">
        <v>170</v>
      </c>
      <c r="I61">
        <f>PowerBoard2BOM_v34[[#This Row],[Quantity]]*5</f>
        <v>5</v>
      </c>
    </row>
    <row r="62" spans="1:9" x14ac:dyDescent="0.25">
      <c r="A62" t="s">
        <v>175</v>
      </c>
      <c r="B62">
        <v>2</v>
      </c>
      <c r="C62" t="s">
        <v>15</v>
      </c>
      <c r="D62" t="s">
        <v>16</v>
      </c>
      <c r="E62" t="s">
        <v>176</v>
      </c>
      <c r="F62" t="s">
        <v>267</v>
      </c>
      <c r="G62" t="s">
        <v>29</v>
      </c>
      <c r="H62" s="1" t="s">
        <v>177</v>
      </c>
      <c r="I62">
        <f>PowerBoard2BOM_v34[[#This Row],[Quantity]]*5</f>
        <v>10</v>
      </c>
    </row>
    <row r="63" spans="1:9" x14ac:dyDescent="0.25">
      <c r="A63" t="s">
        <v>228</v>
      </c>
      <c r="B63">
        <v>3</v>
      </c>
      <c r="C63" t="s">
        <v>15</v>
      </c>
      <c r="D63" t="s">
        <v>16</v>
      </c>
      <c r="E63" t="s">
        <v>229</v>
      </c>
      <c r="F63" t="s">
        <v>267</v>
      </c>
      <c r="G63" t="s">
        <v>29</v>
      </c>
      <c r="H63" s="1" t="s">
        <v>230</v>
      </c>
      <c r="I63">
        <f>PowerBoard2BOM_v34[[#This Row],[Quantity]]*5</f>
        <v>15</v>
      </c>
    </row>
    <row r="64" spans="1:9" x14ac:dyDescent="0.25">
      <c r="A64" t="s">
        <v>254</v>
      </c>
      <c r="B64">
        <v>12</v>
      </c>
      <c r="C64" t="s">
        <v>15</v>
      </c>
      <c r="D64" t="s">
        <v>16</v>
      </c>
      <c r="E64" t="s">
        <v>255</v>
      </c>
      <c r="F64" t="s">
        <v>267</v>
      </c>
      <c r="G64" t="s">
        <v>256</v>
      </c>
      <c r="H64" s="1" t="s">
        <v>257</v>
      </c>
      <c r="I64">
        <f>PowerBoard2BOM_v34[[#This Row],[Quantity]]*5</f>
        <v>60</v>
      </c>
    </row>
    <row r="65" spans="1:9" x14ac:dyDescent="0.25">
      <c r="A65" t="s">
        <v>95</v>
      </c>
      <c r="B65">
        <v>1</v>
      </c>
      <c r="C65" t="s">
        <v>15</v>
      </c>
      <c r="D65" t="s">
        <v>16</v>
      </c>
      <c r="E65" t="s">
        <v>96</v>
      </c>
      <c r="F65" t="s">
        <v>267</v>
      </c>
      <c r="G65" t="s">
        <v>97</v>
      </c>
      <c r="H65" s="1" t="s">
        <v>98</v>
      </c>
      <c r="I65">
        <f>PowerBoard2BOM_v34[[#This Row],[Quantity]]*5</f>
        <v>5</v>
      </c>
    </row>
    <row r="66" spans="1:9" x14ac:dyDescent="0.25">
      <c r="A66" t="s">
        <v>150</v>
      </c>
      <c r="B66">
        <v>1</v>
      </c>
      <c r="C66" t="s">
        <v>15</v>
      </c>
      <c r="D66" t="s">
        <v>16</v>
      </c>
      <c r="E66" t="s">
        <v>151</v>
      </c>
      <c r="F66" t="s">
        <v>267</v>
      </c>
      <c r="G66" t="s">
        <v>29</v>
      </c>
      <c r="H66" s="1">
        <v>560112120033</v>
      </c>
      <c r="I66">
        <f>PowerBoard2BOM_v34[[#This Row],[Quantity]]*5</f>
        <v>5</v>
      </c>
    </row>
    <row r="67" spans="1:9" x14ac:dyDescent="0.25">
      <c r="A67" t="s">
        <v>250</v>
      </c>
      <c r="B67">
        <v>4</v>
      </c>
      <c r="C67" t="s">
        <v>15</v>
      </c>
      <c r="D67" t="s">
        <v>16</v>
      </c>
      <c r="E67" t="s">
        <v>251</v>
      </c>
      <c r="F67" t="s">
        <v>267</v>
      </c>
      <c r="G67" t="s">
        <v>252</v>
      </c>
      <c r="H67" s="1" t="s">
        <v>253</v>
      </c>
      <c r="I67">
        <f>PowerBoard2BOM_v34[[#This Row],[Quantity]]*5</f>
        <v>20</v>
      </c>
    </row>
    <row r="68" spans="1:9" x14ac:dyDescent="0.25">
      <c r="A68" t="s">
        <v>152</v>
      </c>
      <c r="B68">
        <v>8</v>
      </c>
      <c r="C68" t="s">
        <v>15</v>
      </c>
      <c r="D68" t="s">
        <v>16</v>
      </c>
      <c r="E68" t="s">
        <v>153</v>
      </c>
      <c r="F68" t="s">
        <v>267</v>
      </c>
      <c r="G68" t="s">
        <v>154</v>
      </c>
      <c r="H68" s="1" t="s">
        <v>155</v>
      </c>
      <c r="I68">
        <f>PowerBoard2BOM_v34[[#This Row],[Quantity]]*5</f>
        <v>40</v>
      </c>
    </row>
    <row r="69" spans="1:9" x14ac:dyDescent="0.25">
      <c r="A69" t="s">
        <v>105</v>
      </c>
      <c r="B69">
        <v>2</v>
      </c>
      <c r="C69" t="s">
        <v>15</v>
      </c>
      <c r="D69" t="s">
        <v>16</v>
      </c>
      <c r="E69" t="s">
        <v>106</v>
      </c>
      <c r="F69" t="s">
        <v>267</v>
      </c>
      <c r="G69" t="s">
        <v>29</v>
      </c>
      <c r="H69" s="1" t="s">
        <v>107</v>
      </c>
      <c r="I69">
        <f>PowerBoard2BOM_v34[[#This Row],[Quantity]]*5</f>
        <v>10</v>
      </c>
    </row>
    <row r="70" spans="1:9" x14ac:dyDescent="0.25">
      <c r="A70" t="s">
        <v>14</v>
      </c>
      <c r="B70">
        <v>3</v>
      </c>
      <c r="C70" t="s">
        <v>15</v>
      </c>
      <c r="D70" t="s">
        <v>16</v>
      </c>
      <c r="E70" t="s">
        <v>17</v>
      </c>
      <c r="F70" t="s">
        <v>267</v>
      </c>
      <c r="G70" t="s">
        <v>18</v>
      </c>
      <c r="H70" s="1" t="s">
        <v>19</v>
      </c>
      <c r="I70">
        <f>PowerBoard2BOM_v34[[#This Row],[Quantity]]*5</f>
        <v>15</v>
      </c>
    </row>
    <row r="71" spans="1:9" x14ac:dyDescent="0.25">
      <c r="A71" t="s">
        <v>143</v>
      </c>
      <c r="B71">
        <v>1</v>
      </c>
      <c r="C71" t="s">
        <v>15</v>
      </c>
      <c r="D71" t="s">
        <v>16</v>
      </c>
      <c r="E71" t="s">
        <v>144</v>
      </c>
      <c r="F71" t="s">
        <v>267</v>
      </c>
      <c r="G71" t="s">
        <v>29</v>
      </c>
      <c r="H71" s="1" t="s">
        <v>145</v>
      </c>
      <c r="I71">
        <f>PowerBoard2BOM_v34[[#This Row],[Quantity]]*5</f>
        <v>5</v>
      </c>
    </row>
    <row r="72" spans="1:9" x14ac:dyDescent="0.25">
      <c r="A72" t="s">
        <v>159</v>
      </c>
      <c r="B72">
        <v>1</v>
      </c>
      <c r="C72" t="s">
        <v>15</v>
      </c>
      <c r="D72" t="s">
        <v>16</v>
      </c>
      <c r="E72" t="s">
        <v>160</v>
      </c>
      <c r="F72" t="s">
        <v>267</v>
      </c>
      <c r="G72" t="s">
        <v>161</v>
      </c>
      <c r="H72" s="1" t="s">
        <v>162</v>
      </c>
      <c r="I72">
        <f>PowerBoard2BOM_v34[[#This Row],[Quantity]]*5</f>
        <v>5</v>
      </c>
    </row>
    <row r="73" spans="1:9" x14ac:dyDescent="0.25">
      <c r="A73" t="s">
        <v>59</v>
      </c>
      <c r="B73">
        <v>1</v>
      </c>
      <c r="C73" t="s">
        <v>15</v>
      </c>
      <c r="D73" t="s">
        <v>60</v>
      </c>
      <c r="E73" t="s">
        <v>61</v>
      </c>
      <c r="F73" t="s">
        <v>267</v>
      </c>
      <c r="G73" t="s">
        <v>62</v>
      </c>
      <c r="H73" s="1" t="s">
        <v>63</v>
      </c>
      <c r="I73">
        <f>PowerBoard2BOM_v34[[#This Row],[Quantity]]*5</f>
        <v>5</v>
      </c>
    </row>
    <row r="74" spans="1:9" ht="15" customHeight="1" x14ac:dyDescent="0.25">
      <c r="A74" t="s">
        <v>214</v>
      </c>
      <c r="B74">
        <v>6</v>
      </c>
      <c r="C74" t="s">
        <v>15</v>
      </c>
      <c r="D74" t="s">
        <v>60</v>
      </c>
      <c r="E74" t="s">
        <v>215</v>
      </c>
      <c r="F74" t="s">
        <v>267</v>
      </c>
      <c r="G74" t="s">
        <v>216</v>
      </c>
      <c r="H74" s="1" t="s">
        <v>217</v>
      </c>
      <c r="I74">
        <f>PowerBoard2BOM_v34[[#This Row],[Quantity]]*5</f>
        <v>30</v>
      </c>
    </row>
    <row r="75" spans="1:9" x14ac:dyDescent="0.25">
      <c r="A75" t="s">
        <v>246</v>
      </c>
      <c r="B75">
        <v>1</v>
      </c>
      <c r="C75" t="s">
        <v>15</v>
      </c>
      <c r="D75" t="s">
        <v>60</v>
      </c>
      <c r="E75" t="s">
        <v>247</v>
      </c>
      <c r="F75" t="s">
        <v>267</v>
      </c>
      <c r="G75" t="s">
        <v>248</v>
      </c>
      <c r="H75" s="1" t="s">
        <v>249</v>
      </c>
      <c r="I75">
        <f>PowerBoard2BOM_v34[[#This Row],[Quantity]]*5</f>
        <v>5</v>
      </c>
    </row>
    <row r="76" spans="1:9" x14ac:dyDescent="0.25">
      <c r="A76" t="s">
        <v>76</v>
      </c>
      <c r="B76" s="2">
        <v>11</v>
      </c>
      <c r="C76" t="s">
        <v>315</v>
      </c>
      <c r="D76" t="s">
        <v>76</v>
      </c>
      <c r="E76" t="s">
        <v>76</v>
      </c>
      <c r="H76" s="1"/>
      <c r="I76">
        <f>PowerBoard2BOM_v34[[#This Row],[Quantity]]*5</f>
        <v>55</v>
      </c>
    </row>
    <row r="77" spans="1:9" x14ac:dyDescent="0.25">
      <c r="A77" t="s">
        <v>76</v>
      </c>
      <c r="B77" s="2">
        <v>11</v>
      </c>
      <c r="C77" t="s">
        <v>309</v>
      </c>
      <c r="D77" t="s">
        <v>76</v>
      </c>
      <c r="E77" t="s">
        <v>76</v>
      </c>
      <c r="H77" s="1"/>
      <c r="I77">
        <f>PowerBoard2BOM_v34[[#This Row],[Quantity]]*5</f>
        <v>55</v>
      </c>
    </row>
    <row r="78" spans="1:9" ht="16.5" customHeight="1" x14ac:dyDescent="0.25">
      <c r="A78" t="s">
        <v>76</v>
      </c>
      <c r="B78" s="2">
        <v>11</v>
      </c>
      <c r="C78" t="s">
        <v>310</v>
      </c>
      <c r="D78" t="s">
        <v>76</v>
      </c>
      <c r="E78" t="s">
        <v>76</v>
      </c>
      <c r="H78" s="1"/>
      <c r="I78">
        <f>PowerBoard2BOM_v34[[#This Row],[Quantity]]*5</f>
        <v>55</v>
      </c>
    </row>
    <row r="79" spans="1:9" x14ac:dyDescent="0.25">
      <c r="B79">
        <f>SUM(PowerBoard2BOM_v34[Quantity])</f>
        <v>258</v>
      </c>
      <c r="I79">
        <f>SUM(PowerBoard2BOM_v34[5-Boards])</f>
        <v>1291</v>
      </c>
    </row>
  </sheetData>
  <hyperlinks>
    <hyperlink ref="G12" r:id="rId1" display="https://www.onsemi.com/pdf/datasheet/bzx84c2v4lt1-d.pdf" xr:uid="{B2682C6D-DBE3-45E3-B6A0-DF96FB88DEAC}"/>
    <hyperlink ref="G11" r:id="rId2" display="https://www.infineon.com/assets/row/public/documents/10/49/infineon-tls4125d0ep-v50-datasheet-en.pdf" xr:uid="{DCEF285A-57E4-4B96-8C8C-16D38DF7A883}"/>
    <hyperlink ref="G7" r:id="rId3" display="https://www.infineon.com/assets/row/public/documents/10/49/infineon-tls208d1-ds-en.pdf" xr:uid="{E06B9BDB-3F1F-4E0A-AA13-D3BFAAD1B543}"/>
    <hyperlink ref="G8" r:id="rId4" display="https://www.infineon.com/assets/row/public/documents/10/49/infineon-tls208d1-ds-en.pdf" xr:uid="{A5912805-2EB7-49AC-BBE0-C2DF19721F78}"/>
    <hyperlink ref="G13" r:id="rId5" display="https://docs.rs-online.com/3b50/A700000010244389.pdf" xr:uid="{ACB342E6-4A19-4EB7-8AB7-D0824C65A9C2}"/>
    <hyperlink ref="G21" r:id="rId6" location="691219610002" display="https://www.we-online.com/de/components/products/TBL_10_16_2196_HORIZONTAL_ENTRY_MODULAR_69121961000X - 691219610002" xr:uid="{0BD3F5E8-6DF0-4132-B9E4-EF24D6D4A99F}"/>
    <hyperlink ref="G15" r:id="rId7" display="https://www.samtec.com/de/products/hsec8-160-01-l-dv-a-bl" xr:uid="{27B291DA-54EF-4FDA-8C05-F6D4D989BF92}"/>
    <hyperlink ref="G32" r:id="rId8" location="691219610003" display="https://www.we-online.com/de/components/products/TBL_10_16_2196_HORIZONTAL_ENTRY_MODULAR_69121961000X - 691219610003" xr:uid="{CA355655-DAB1-48E3-8C2E-3B0DD81FFA5B}"/>
    <hyperlink ref="G14" r:id="rId9" location="distributorinfo" display="https://www.samtec.com/de/products/erf8-040-05.0-l-dv-l-k-tr - distributorinfo" xr:uid="{97AFDF36-4AF4-46CA-BD4D-63C32AB32D17}"/>
    <hyperlink ref="G4" r:id="rId10" display="https://www.tdk-electronics.tdk.com/inf/50/db/ntc/NTC_SMD_Standard_series_0805.pdf" xr:uid="{9CF0FB54-17FE-4CBC-880C-B7325E41C820}"/>
    <hyperlink ref="G6" r:id="rId11" display="https://www.infineon.com/part/IRF100P218" xr:uid="{8627273A-2CEB-4CBF-BF68-2CC04E1DF2AF}"/>
    <hyperlink ref="G3" r:id="rId12" display="https://www.bourns.com/docs/Product-Datasheets/3386.pdf" xr:uid="{A3A47CBA-F2DC-4718-A052-BF38F5E67F01}"/>
    <hyperlink ref="G18" r:id="rId13" display="https://www.ti.com/lit/ds/symlink/lm5013.pdf?ts=1753887799318&amp;ref_url=https%253A%252F%252Fwww.ti.com%252Fpower-management%252Facdc-dcdc-converters%252Fproducts.html" xr:uid="{4E7319DF-2798-46F0-A255-C5C9AF679E14}"/>
    <hyperlink ref="G10" r:id="rId14" display="https://www.infineon.com/assets/row/public/documents/24/49/infineon-1edl8011-datasheet-en.pdf" xr:uid="{3323F0B0-2B68-46A7-B228-F91DB4E1F094}"/>
    <hyperlink ref="G9" r:id="rId15" display="https://www.infineon.com/part/2ED21824S06J" xr:uid="{65648B16-A6D2-4475-8566-4FED43D23394}"/>
    <hyperlink ref="G16" r:id="rId16" xr:uid="{B486DD28-C230-47CA-A8C8-DD5A3EE5B934}"/>
    <hyperlink ref="G5" r:id="rId17" display="https://www.infineon.com/evaluation-board/KIT-PSC3M5-CC1" xr:uid="{4A47F485-F275-4717-814C-2B1A3422CC35}"/>
    <hyperlink ref="G22" r:id="rId18" display="https://www.we-online.com/de/components/products/TBL_3_50_3611_VERTICAL_69136110000X" xr:uid="{83D42D72-72AF-4B75-B82E-A16B79CEF988}"/>
    <hyperlink ref="G23" r:id="rId19" display="https://www.we-online.com/de/components/products/TBL_3_50_3611_VERTICAL_69136110000X" xr:uid="{58BDDC5D-88F1-4297-84B9-4B2E1240B6D5}"/>
    <hyperlink ref="G24" r:id="rId20" location="60800213421" display="https://www.we-online.com/en/components/products/PHD_2_00_JUMPER_W_TEST_POINT_60800213421 - 60800213421" xr:uid="{1F56D7D4-196B-4615-911E-7B499E970EBF}"/>
    <hyperlink ref="G25" r:id="rId21" location="971120365" display="https://www.we-online.com/en/components/products/SPAIE_PLASTIC_SPACER_STUD_METRIC_INTERNAL_EXTERNAL - 971120365" xr:uid="{5A5748E8-8633-41EB-B1E5-92CA13B05BCD}"/>
    <hyperlink ref="G2" r:id="rId22" display="https://www.digikey.at/en/products/detail/bergquist/SP400-0-007-00-104/529921" xr:uid="{CA0F0237-6652-49A4-9DF2-F95F12AF2786}"/>
    <hyperlink ref="G26" r:id="rId23" display="https://www.we-online.com/components/products/datasheet/960020042.pdf" xr:uid="{B0C10161-2A78-4CF3-A244-8AF1B61002A0}"/>
    <hyperlink ref="G35" r:id="rId24" display="https://www.we-online.com/de/components/products/CALYPSO_IOT_FEATHERWING_2" xr:uid="{AE028268-2EDF-4368-B27C-1D651B192F45}"/>
    <hyperlink ref="G27" r:id="rId25" display="https://www.we-online.com/de/components/products/WA-SPAII_PLASTIC_SPACER_STUD_METRIC_INTERNAL_INTERNAL" xr:uid="{88F93FDC-5A00-440D-8A91-236E5A8FC577}"/>
  </hyperlinks>
  <pageMargins left="0.7" right="0.7" top="0.75" bottom="0.75" header="0.3" footer="0.3"/>
  <pageSetup paperSize="9" scale="40" orientation="landscape" r:id="rId26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EF2B-8913-4512-868D-3DEA3B0769DD}">
  <dimension ref="A1:I9"/>
  <sheetViews>
    <sheetView workbookViewId="0">
      <selection activeCell="D14" sqref="D14"/>
    </sheetView>
  </sheetViews>
  <sheetFormatPr defaultRowHeight="15" x14ac:dyDescent="0.25"/>
  <cols>
    <col min="1" max="1" width="24.42578125" bestFit="1" customWidth="1"/>
    <col min="2" max="2" width="11" bestFit="1" customWidth="1"/>
    <col min="3" max="3" width="41.140625" customWidth="1"/>
    <col min="4" max="4" width="21" customWidth="1"/>
    <col min="5" max="5" width="8.28515625" bestFit="1" customWidth="1"/>
    <col min="6" max="6" width="20.7109375" bestFit="1" customWidth="1"/>
    <col min="7" max="7" width="45.28515625" customWidth="1"/>
    <col min="8" max="8" width="16.5703125" bestFit="1" customWidth="1"/>
    <col min="9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t="s">
        <v>322</v>
      </c>
    </row>
    <row r="2" spans="1:9" x14ac:dyDescent="0.25">
      <c r="A2" t="s">
        <v>8</v>
      </c>
      <c r="B2">
        <v>1</v>
      </c>
      <c r="C2" t="s">
        <v>9</v>
      </c>
      <c r="D2" t="s">
        <v>10</v>
      </c>
      <c r="E2" t="s">
        <v>76</v>
      </c>
      <c r="F2" t="s">
        <v>47</v>
      </c>
      <c r="G2" s="3" t="s">
        <v>272</v>
      </c>
      <c r="H2" s="1" t="s">
        <v>273</v>
      </c>
      <c r="I2">
        <v>5</v>
      </c>
    </row>
    <row r="3" spans="1:9" x14ac:dyDescent="0.25">
      <c r="A3" t="s">
        <v>222</v>
      </c>
      <c r="B3">
        <v>1</v>
      </c>
      <c r="C3" t="s">
        <v>223</v>
      </c>
      <c r="D3" t="s">
        <v>43</v>
      </c>
      <c r="E3" t="s">
        <v>76</v>
      </c>
      <c r="F3" t="s">
        <v>47</v>
      </c>
      <c r="G3" s="3" t="s">
        <v>274</v>
      </c>
      <c r="H3" s="1" t="s">
        <v>224</v>
      </c>
      <c r="I3">
        <v>5</v>
      </c>
    </row>
    <row r="4" spans="1:9" x14ac:dyDescent="0.25">
      <c r="A4" t="s">
        <v>41</v>
      </c>
      <c r="B4">
        <v>1</v>
      </c>
      <c r="C4" t="s">
        <v>42</v>
      </c>
      <c r="D4" t="s">
        <v>43</v>
      </c>
      <c r="E4" t="s">
        <v>76</v>
      </c>
      <c r="F4" t="s">
        <v>47</v>
      </c>
      <c r="G4" s="3" t="s">
        <v>274</v>
      </c>
      <c r="H4" s="1" t="s">
        <v>275</v>
      </c>
      <c r="I4">
        <v>5</v>
      </c>
    </row>
    <row r="5" spans="1:9" x14ac:dyDescent="0.25">
      <c r="A5" t="s">
        <v>44</v>
      </c>
      <c r="B5">
        <v>7</v>
      </c>
      <c r="C5" t="s">
        <v>45</v>
      </c>
      <c r="D5" t="s">
        <v>46</v>
      </c>
      <c r="E5" t="s">
        <v>76</v>
      </c>
      <c r="F5" t="s">
        <v>47</v>
      </c>
      <c r="G5" s="3" t="s">
        <v>286</v>
      </c>
      <c r="H5" s="1" t="s">
        <v>48</v>
      </c>
      <c r="I5">
        <v>35</v>
      </c>
    </row>
    <row r="6" spans="1:9" x14ac:dyDescent="0.25">
      <c r="A6" t="s">
        <v>20</v>
      </c>
      <c r="B6">
        <v>3</v>
      </c>
      <c r="C6" t="s">
        <v>291</v>
      </c>
      <c r="D6" t="s">
        <v>22</v>
      </c>
      <c r="E6" t="s">
        <v>76</v>
      </c>
      <c r="F6" s="2" t="s">
        <v>47</v>
      </c>
      <c r="G6" s="3" t="s">
        <v>290</v>
      </c>
      <c r="H6" s="1" t="s">
        <v>21</v>
      </c>
      <c r="I6">
        <v>15</v>
      </c>
    </row>
    <row r="7" spans="1:9" x14ac:dyDescent="0.25">
      <c r="A7" t="s">
        <v>55</v>
      </c>
      <c r="B7">
        <v>1</v>
      </c>
      <c r="C7" t="s">
        <v>56</v>
      </c>
      <c r="D7" t="s">
        <v>57</v>
      </c>
      <c r="E7" t="s">
        <v>76</v>
      </c>
      <c r="F7" t="s">
        <v>47</v>
      </c>
      <c r="G7" s="3" t="s">
        <v>58</v>
      </c>
      <c r="H7" s="1" t="s">
        <v>58</v>
      </c>
      <c r="I7">
        <v>5</v>
      </c>
    </row>
    <row r="8" spans="1:9" x14ac:dyDescent="0.25">
      <c r="A8" t="s">
        <v>76</v>
      </c>
      <c r="B8" s="2">
        <v>1</v>
      </c>
      <c r="C8" s="4" t="s">
        <v>297</v>
      </c>
      <c r="D8" s="4" t="s">
        <v>298</v>
      </c>
      <c r="E8" t="s">
        <v>76</v>
      </c>
      <c r="F8" t="s">
        <v>47</v>
      </c>
      <c r="G8" s="6" t="s">
        <v>299</v>
      </c>
      <c r="H8" s="1" t="s">
        <v>300</v>
      </c>
      <c r="I8">
        <v>5</v>
      </c>
    </row>
    <row r="9" spans="1:9" x14ac:dyDescent="0.25">
      <c r="B9">
        <f>SUM(B2:B8)</f>
        <v>15</v>
      </c>
      <c r="H9" s="7"/>
      <c r="I9">
        <f>SUM(I2:I8)</f>
        <v>75</v>
      </c>
    </row>
  </sheetData>
  <hyperlinks>
    <hyperlink ref="G2" r:id="rId1" display="https://www.infineon.com/assets/row/public/documents/10/49/infineon-tls4125d0ep-v50-datasheet-en.pdf" xr:uid="{8F771A54-2A9B-469B-858B-CE4345062C94}"/>
    <hyperlink ref="G3" r:id="rId2" display="https://www.infineon.com/assets/row/public/documents/10/49/infineon-tls208d1-ds-en.pdf" xr:uid="{C95B75BA-E0F0-4FFF-8017-00A97237ACB7}"/>
    <hyperlink ref="G4" r:id="rId3" display="https://www.infineon.com/assets/row/public/documents/10/49/infineon-tls208d1-ds-en.pdf" xr:uid="{46F7BF94-1DAB-4EEE-AB24-931219BCEB8D}"/>
    <hyperlink ref="G5" r:id="rId4" display="https://www.infineon.com/part/IRF100P218" xr:uid="{180DC0B3-3A2A-4E93-9DA1-6AAFAE608186}"/>
    <hyperlink ref="G7" r:id="rId5" display="https://www.infineon.com/assets/row/public/documents/24/49/infineon-1edl8011-datasheet-en.pdf" xr:uid="{877B7AD7-67B6-4B01-84D5-2B3124A9902E}"/>
    <hyperlink ref="G6" r:id="rId6" display="https://www.infineon.com/part/2ED21824S06J" xr:uid="{AE6E3FDA-CC3A-423D-8D96-6ACD533E8EC2}"/>
    <hyperlink ref="G8" r:id="rId7" display="https://www.infineon.com/evaluation-board/KIT-PSC3M5-CC1" xr:uid="{6B58249D-6D5C-4D4A-AFBE-AD765BBCA9C5}"/>
  </hyperlinks>
  <pageMargins left="0.7" right="0.7" top="0.75" bottom="0.75" header="0.3" footer="0.3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B140-FFE0-463F-8322-8167123DC5F9}">
  <dimension ref="A1:I57"/>
  <sheetViews>
    <sheetView workbookViewId="0">
      <selection activeCell="D59" sqref="D59"/>
    </sheetView>
  </sheetViews>
  <sheetFormatPr defaultRowHeight="15" x14ac:dyDescent="0.25"/>
  <cols>
    <col min="1" max="1" width="53.42578125" bestFit="1" customWidth="1"/>
    <col min="2" max="2" width="11" customWidth="1"/>
    <col min="3" max="3" width="46" bestFit="1" customWidth="1"/>
    <col min="4" max="4" width="34.28515625" customWidth="1"/>
    <col min="6" max="6" width="15.5703125" bestFit="1" customWidth="1"/>
    <col min="7" max="7" width="25.7109375" customWidth="1"/>
    <col min="8" max="8" width="16.5703125" style="2" bestFit="1" customWidth="1"/>
    <col min="9" max="9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t="s">
        <v>322</v>
      </c>
    </row>
    <row r="2" spans="1:9" x14ac:dyDescent="0.25">
      <c r="A2" t="s">
        <v>31</v>
      </c>
      <c r="B2">
        <v>14</v>
      </c>
      <c r="C2" t="s">
        <v>32</v>
      </c>
      <c r="D2" t="s">
        <v>33</v>
      </c>
      <c r="E2" t="s">
        <v>34</v>
      </c>
      <c r="F2" t="s">
        <v>267</v>
      </c>
      <c r="G2" t="s">
        <v>35</v>
      </c>
      <c r="H2" s="1" t="s">
        <v>36</v>
      </c>
      <c r="I2">
        <v>70</v>
      </c>
    </row>
    <row r="3" spans="1:9" x14ac:dyDescent="0.25">
      <c r="A3" t="s">
        <v>108</v>
      </c>
      <c r="B3">
        <v>9</v>
      </c>
      <c r="C3" t="s">
        <v>109</v>
      </c>
      <c r="D3" t="s">
        <v>110</v>
      </c>
      <c r="E3" t="s">
        <v>111</v>
      </c>
      <c r="F3" t="s">
        <v>267</v>
      </c>
      <c r="G3" t="s">
        <v>112</v>
      </c>
      <c r="H3" s="1" t="s">
        <v>113</v>
      </c>
      <c r="I3">
        <v>45</v>
      </c>
    </row>
    <row r="4" spans="1:9" x14ac:dyDescent="0.25">
      <c r="A4" t="s">
        <v>201</v>
      </c>
      <c r="B4">
        <v>7</v>
      </c>
      <c r="C4" t="s">
        <v>32</v>
      </c>
      <c r="D4" t="s">
        <v>202</v>
      </c>
      <c r="E4" t="s">
        <v>203</v>
      </c>
      <c r="F4" t="s">
        <v>267</v>
      </c>
      <c r="G4" t="s">
        <v>204</v>
      </c>
      <c r="H4" s="1" t="s">
        <v>205</v>
      </c>
      <c r="I4">
        <v>35</v>
      </c>
    </row>
    <row r="5" spans="1:9" x14ac:dyDescent="0.25">
      <c r="A5" t="s">
        <v>192</v>
      </c>
      <c r="B5">
        <v>5</v>
      </c>
      <c r="C5" t="s">
        <v>109</v>
      </c>
      <c r="D5" t="s">
        <v>193</v>
      </c>
      <c r="E5" t="s">
        <v>194</v>
      </c>
      <c r="F5" t="s">
        <v>267</v>
      </c>
      <c r="G5" t="s">
        <v>195</v>
      </c>
      <c r="H5" s="1" t="s">
        <v>196</v>
      </c>
      <c r="I5">
        <v>25</v>
      </c>
    </row>
    <row r="6" spans="1:9" x14ac:dyDescent="0.25">
      <c r="A6" t="s">
        <v>225</v>
      </c>
      <c r="B6">
        <v>2</v>
      </c>
      <c r="C6" t="s">
        <v>32</v>
      </c>
      <c r="D6" t="s">
        <v>65</v>
      </c>
      <c r="E6" t="s">
        <v>116</v>
      </c>
      <c r="F6" t="s">
        <v>267</v>
      </c>
      <c r="G6" t="s">
        <v>226</v>
      </c>
      <c r="H6" s="1" t="s">
        <v>227</v>
      </c>
      <c r="I6">
        <v>10</v>
      </c>
    </row>
    <row r="7" spans="1:9" x14ac:dyDescent="0.25">
      <c r="A7" t="s">
        <v>138</v>
      </c>
      <c r="B7">
        <v>2</v>
      </c>
      <c r="C7" t="s">
        <v>70</v>
      </c>
      <c r="D7" t="s">
        <v>139</v>
      </c>
      <c r="E7" t="s">
        <v>140</v>
      </c>
      <c r="F7" t="s">
        <v>267</v>
      </c>
      <c r="G7" t="s">
        <v>141</v>
      </c>
      <c r="H7" s="1" t="s">
        <v>142</v>
      </c>
      <c r="I7">
        <v>10</v>
      </c>
    </row>
    <row r="8" spans="1:9" x14ac:dyDescent="0.25">
      <c r="A8" t="s">
        <v>99</v>
      </c>
      <c r="B8">
        <v>4</v>
      </c>
      <c r="C8" t="s">
        <v>100</v>
      </c>
      <c r="D8" t="s">
        <v>101</v>
      </c>
      <c r="E8" t="s">
        <v>102</v>
      </c>
      <c r="F8" t="s">
        <v>267</v>
      </c>
      <c r="G8" t="s">
        <v>103</v>
      </c>
      <c r="H8" s="1" t="s">
        <v>104</v>
      </c>
      <c r="I8">
        <v>20</v>
      </c>
    </row>
    <row r="9" spans="1:9" x14ac:dyDescent="0.25">
      <c r="A9" t="s">
        <v>69</v>
      </c>
      <c r="B9">
        <v>1</v>
      </c>
      <c r="C9" t="s">
        <v>70</v>
      </c>
      <c r="D9" t="s">
        <v>65</v>
      </c>
      <c r="E9" t="s">
        <v>71</v>
      </c>
      <c r="F9" t="s">
        <v>267</v>
      </c>
      <c r="G9" t="s">
        <v>72</v>
      </c>
      <c r="H9" s="1" t="s">
        <v>73</v>
      </c>
      <c r="I9">
        <v>5</v>
      </c>
    </row>
    <row r="10" spans="1:9" x14ac:dyDescent="0.25">
      <c r="A10" t="s">
        <v>64</v>
      </c>
      <c r="B10">
        <v>2</v>
      </c>
      <c r="C10" t="s">
        <v>32</v>
      </c>
      <c r="D10" t="s">
        <v>65</v>
      </c>
      <c r="E10" t="s">
        <v>66</v>
      </c>
      <c r="F10" t="s">
        <v>267</v>
      </c>
      <c r="G10" t="s">
        <v>67</v>
      </c>
      <c r="H10" s="1" t="s">
        <v>68</v>
      </c>
      <c r="I10">
        <v>10</v>
      </c>
    </row>
    <row r="11" spans="1:9" x14ac:dyDescent="0.25">
      <c r="A11" t="s">
        <v>210</v>
      </c>
      <c r="B11">
        <v>12</v>
      </c>
      <c r="C11" t="s">
        <v>100</v>
      </c>
      <c r="D11" t="s">
        <v>115</v>
      </c>
      <c r="E11" t="s">
        <v>211</v>
      </c>
      <c r="F11" t="s">
        <v>267</v>
      </c>
      <c r="G11" t="s">
        <v>212</v>
      </c>
      <c r="H11" s="1" t="s">
        <v>213</v>
      </c>
      <c r="I11">
        <v>60</v>
      </c>
    </row>
    <row r="12" spans="1:9" x14ac:dyDescent="0.25">
      <c r="A12" t="s">
        <v>258</v>
      </c>
      <c r="B12">
        <v>10</v>
      </c>
      <c r="C12" t="s">
        <v>32</v>
      </c>
      <c r="D12" t="s">
        <v>65</v>
      </c>
      <c r="E12" t="s">
        <v>259</v>
      </c>
      <c r="F12" t="s">
        <v>267</v>
      </c>
      <c r="G12" t="s">
        <v>260</v>
      </c>
      <c r="H12" s="1" t="s">
        <v>261</v>
      </c>
      <c r="I12">
        <v>50</v>
      </c>
    </row>
    <row r="13" spans="1:9" x14ac:dyDescent="0.25">
      <c r="A13" t="s">
        <v>119</v>
      </c>
      <c r="B13">
        <v>6</v>
      </c>
      <c r="C13" t="s">
        <v>100</v>
      </c>
      <c r="D13" t="s">
        <v>65</v>
      </c>
      <c r="E13" t="s">
        <v>120</v>
      </c>
      <c r="F13" t="s">
        <v>267</v>
      </c>
      <c r="G13" t="s">
        <v>121</v>
      </c>
      <c r="H13" s="1" t="s">
        <v>122</v>
      </c>
      <c r="I13">
        <v>30</v>
      </c>
    </row>
    <row r="14" spans="1:9" x14ac:dyDescent="0.25">
      <c r="A14" t="s">
        <v>262</v>
      </c>
      <c r="B14">
        <v>1</v>
      </c>
      <c r="C14" t="s">
        <v>100</v>
      </c>
      <c r="D14" t="s">
        <v>263</v>
      </c>
      <c r="E14" t="s">
        <v>264</v>
      </c>
      <c r="F14" t="s">
        <v>267</v>
      </c>
      <c r="G14" t="s">
        <v>265</v>
      </c>
      <c r="H14" s="1" t="s">
        <v>266</v>
      </c>
      <c r="I14">
        <v>5</v>
      </c>
    </row>
    <row r="15" spans="1:9" x14ac:dyDescent="0.25">
      <c r="A15" t="s">
        <v>114</v>
      </c>
      <c r="B15">
        <v>5</v>
      </c>
      <c r="C15" t="s">
        <v>32</v>
      </c>
      <c r="D15" t="s">
        <v>115</v>
      </c>
      <c r="E15" t="s">
        <v>116</v>
      </c>
      <c r="F15" t="s">
        <v>267</v>
      </c>
      <c r="G15" t="s">
        <v>117</v>
      </c>
      <c r="H15" s="1" t="s">
        <v>118</v>
      </c>
      <c r="I15">
        <v>25</v>
      </c>
    </row>
    <row r="16" spans="1:9" x14ac:dyDescent="0.25">
      <c r="A16" t="s">
        <v>130</v>
      </c>
      <c r="B16">
        <v>1</v>
      </c>
      <c r="C16" t="s">
        <v>32</v>
      </c>
      <c r="D16" t="s">
        <v>65</v>
      </c>
      <c r="E16" t="s">
        <v>131</v>
      </c>
      <c r="F16" t="s">
        <v>267</v>
      </c>
      <c r="G16" t="s">
        <v>132</v>
      </c>
      <c r="H16" s="1" t="s">
        <v>133</v>
      </c>
      <c r="I16">
        <v>5</v>
      </c>
    </row>
    <row r="17" spans="1:9" x14ac:dyDescent="0.25">
      <c r="A17" t="s">
        <v>231</v>
      </c>
      <c r="B17">
        <v>2</v>
      </c>
      <c r="C17" t="s">
        <v>319</v>
      </c>
      <c r="D17" t="s">
        <v>135</v>
      </c>
      <c r="E17" t="s">
        <v>76</v>
      </c>
      <c r="F17" t="s">
        <v>267</v>
      </c>
      <c r="G17" t="s">
        <v>233</v>
      </c>
      <c r="H17" s="1" t="s">
        <v>232</v>
      </c>
      <c r="I17">
        <v>10</v>
      </c>
    </row>
    <row r="18" spans="1:9" x14ac:dyDescent="0.25">
      <c r="A18" t="s">
        <v>156</v>
      </c>
      <c r="B18">
        <v>1</v>
      </c>
      <c r="C18" t="s">
        <v>319</v>
      </c>
      <c r="D18" t="s">
        <v>135</v>
      </c>
      <c r="E18" t="s">
        <v>76</v>
      </c>
      <c r="F18" t="s">
        <v>267</v>
      </c>
      <c r="G18" t="s">
        <v>158</v>
      </c>
      <c r="H18" s="1" t="s">
        <v>157</v>
      </c>
      <c r="I18">
        <v>5</v>
      </c>
    </row>
    <row r="19" spans="1:9" x14ac:dyDescent="0.25">
      <c r="A19" t="s">
        <v>134</v>
      </c>
      <c r="B19">
        <v>1</v>
      </c>
      <c r="C19" t="s">
        <v>319</v>
      </c>
      <c r="D19" t="s">
        <v>135</v>
      </c>
      <c r="E19" t="s">
        <v>76</v>
      </c>
      <c r="F19" t="s">
        <v>267</v>
      </c>
      <c r="G19" t="s">
        <v>137</v>
      </c>
      <c r="H19" s="1" t="s">
        <v>136</v>
      </c>
      <c r="I19">
        <v>5</v>
      </c>
    </row>
    <row r="20" spans="1:9" x14ac:dyDescent="0.25">
      <c r="A20" t="s">
        <v>11</v>
      </c>
      <c r="B20">
        <v>1</v>
      </c>
      <c r="C20" t="s">
        <v>12</v>
      </c>
      <c r="D20" s="1">
        <v>691219610002</v>
      </c>
      <c r="E20" t="s">
        <v>76</v>
      </c>
      <c r="F20" t="s">
        <v>267</v>
      </c>
      <c r="G20" s="3" t="s">
        <v>280</v>
      </c>
      <c r="H20" s="1" t="s">
        <v>13</v>
      </c>
      <c r="I20">
        <v>5</v>
      </c>
    </row>
    <row r="21" spans="1:9" x14ac:dyDescent="0.25">
      <c r="A21" t="s">
        <v>182</v>
      </c>
      <c r="B21">
        <v>3</v>
      </c>
      <c r="C21" t="s">
        <v>183</v>
      </c>
      <c r="D21" t="s">
        <v>184</v>
      </c>
      <c r="E21" t="s">
        <v>76</v>
      </c>
      <c r="F21" t="s">
        <v>267</v>
      </c>
      <c r="G21" t="s">
        <v>185</v>
      </c>
      <c r="H21" s="1" t="s">
        <v>184</v>
      </c>
      <c r="I21">
        <v>15</v>
      </c>
    </row>
    <row r="22" spans="1:9" x14ac:dyDescent="0.25">
      <c r="A22" t="s">
        <v>23</v>
      </c>
      <c r="B22">
        <v>1</v>
      </c>
      <c r="C22" t="s">
        <v>24</v>
      </c>
      <c r="D22" t="s">
        <v>25</v>
      </c>
      <c r="E22" t="s">
        <v>76</v>
      </c>
      <c r="F22" t="s">
        <v>267</v>
      </c>
      <c r="G22" t="s">
        <v>26</v>
      </c>
      <c r="H22" s="1" t="s">
        <v>25</v>
      </c>
      <c r="I22">
        <v>5</v>
      </c>
    </row>
    <row r="23" spans="1:9" x14ac:dyDescent="0.25">
      <c r="A23" t="s">
        <v>37</v>
      </c>
      <c r="B23">
        <v>2</v>
      </c>
      <c r="C23" t="s">
        <v>38</v>
      </c>
      <c r="D23" t="s">
        <v>39</v>
      </c>
      <c r="E23" t="s">
        <v>76</v>
      </c>
      <c r="F23" t="s">
        <v>267</v>
      </c>
      <c r="G23" t="s">
        <v>40</v>
      </c>
      <c r="H23" s="1" t="s">
        <v>39</v>
      </c>
      <c r="I23">
        <v>10</v>
      </c>
    </row>
    <row r="24" spans="1:9" x14ac:dyDescent="0.25">
      <c r="A24" t="s">
        <v>171</v>
      </c>
      <c r="B24">
        <v>2</v>
      </c>
      <c r="C24" t="s">
        <v>172</v>
      </c>
      <c r="D24" t="s">
        <v>173</v>
      </c>
      <c r="E24" t="s">
        <v>76</v>
      </c>
      <c r="F24" t="s">
        <v>267</v>
      </c>
      <c r="G24" t="s">
        <v>174</v>
      </c>
      <c r="H24" s="1" t="s">
        <v>173</v>
      </c>
      <c r="I24">
        <v>10</v>
      </c>
    </row>
    <row r="25" spans="1:9" x14ac:dyDescent="0.25">
      <c r="A25" t="s">
        <v>234</v>
      </c>
      <c r="B25">
        <v>1</v>
      </c>
      <c r="C25" t="s">
        <v>12</v>
      </c>
      <c r="D25" t="s">
        <v>235</v>
      </c>
      <c r="E25" t="s">
        <v>76</v>
      </c>
      <c r="F25" t="s">
        <v>267</v>
      </c>
      <c r="G25" s="3" t="s">
        <v>280</v>
      </c>
      <c r="H25" s="1">
        <v>691219610003</v>
      </c>
      <c r="I25">
        <v>5</v>
      </c>
    </row>
    <row r="26" spans="1:9" x14ac:dyDescent="0.25">
      <c r="A26" t="s">
        <v>77</v>
      </c>
      <c r="B26">
        <v>3</v>
      </c>
      <c r="C26" t="s">
        <v>24</v>
      </c>
      <c r="D26" t="s">
        <v>78</v>
      </c>
      <c r="E26" t="s">
        <v>76</v>
      </c>
      <c r="F26" t="s">
        <v>267</v>
      </c>
      <c r="G26" t="s">
        <v>79</v>
      </c>
      <c r="H26" s="1" t="s">
        <v>78</v>
      </c>
      <c r="I26">
        <v>15</v>
      </c>
    </row>
    <row r="27" spans="1:9" x14ac:dyDescent="0.25">
      <c r="A27" t="s">
        <v>206</v>
      </c>
      <c r="B27">
        <v>1</v>
      </c>
      <c r="C27" t="s">
        <v>81</v>
      </c>
      <c r="D27" t="s">
        <v>82</v>
      </c>
      <c r="E27" t="s">
        <v>207</v>
      </c>
      <c r="F27" t="s">
        <v>267</v>
      </c>
      <c r="G27" t="s">
        <v>208</v>
      </c>
      <c r="H27" s="1" t="s">
        <v>209</v>
      </c>
      <c r="I27">
        <v>5</v>
      </c>
    </row>
    <row r="28" spans="1:9" x14ac:dyDescent="0.25">
      <c r="A28" t="s">
        <v>80</v>
      </c>
      <c r="B28">
        <v>1</v>
      </c>
      <c r="C28" t="s">
        <v>81</v>
      </c>
      <c r="D28" t="s">
        <v>82</v>
      </c>
      <c r="E28" t="s">
        <v>83</v>
      </c>
      <c r="F28" t="s">
        <v>267</v>
      </c>
      <c r="G28" t="s">
        <v>84</v>
      </c>
      <c r="H28" s="1" t="s">
        <v>85</v>
      </c>
      <c r="I28">
        <v>5</v>
      </c>
    </row>
    <row r="29" spans="1:9" x14ac:dyDescent="0.25">
      <c r="A29" t="s">
        <v>59</v>
      </c>
      <c r="B29">
        <v>1</v>
      </c>
      <c r="C29" t="s">
        <v>15</v>
      </c>
      <c r="D29" t="s">
        <v>60</v>
      </c>
      <c r="E29" t="s">
        <v>61</v>
      </c>
      <c r="F29" t="s">
        <v>267</v>
      </c>
      <c r="G29" t="s">
        <v>62</v>
      </c>
      <c r="H29" s="1" t="s">
        <v>63</v>
      </c>
      <c r="I29">
        <v>5</v>
      </c>
    </row>
    <row r="30" spans="1:9" x14ac:dyDescent="0.25">
      <c r="A30" t="s">
        <v>49</v>
      </c>
      <c r="B30">
        <v>3</v>
      </c>
      <c r="C30" t="s">
        <v>15</v>
      </c>
      <c r="D30" t="s">
        <v>16</v>
      </c>
      <c r="E30" t="s">
        <v>50</v>
      </c>
      <c r="F30" t="s">
        <v>267</v>
      </c>
      <c r="G30" t="s">
        <v>29</v>
      </c>
      <c r="H30" s="1" t="s">
        <v>51</v>
      </c>
      <c r="I30">
        <v>15</v>
      </c>
    </row>
    <row r="31" spans="1:9" x14ac:dyDescent="0.25">
      <c r="A31" t="s">
        <v>178</v>
      </c>
      <c r="B31">
        <v>2</v>
      </c>
      <c r="C31" t="s">
        <v>15</v>
      </c>
      <c r="D31" t="s">
        <v>16</v>
      </c>
      <c r="E31" t="s">
        <v>179</v>
      </c>
      <c r="F31" t="s">
        <v>267</v>
      </c>
      <c r="G31" t="s">
        <v>180</v>
      </c>
      <c r="H31" s="1" t="s">
        <v>181</v>
      </c>
      <c r="I31">
        <v>10</v>
      </c>
    </row>
    <row r="32" spans="1:9" x14ac:dyDescent="0.25">
      <c r="A32" t="s">
        <v>237</v>
      </c>
      <c r="B32">
        <v>2</v>
      </c>
      <c r="C32" t="s">
        <v>15</v>
      </c>
      <c r="D32" t="s">
        <v>16</v>
      </c>
      <c r="E32" t="s">
        <v>238</v>
      </c>
      <c r="F32" t="s">
        <v>267</v>
      </c>
      <c r="G32" t="s">
        <v>239</v>
      </c>
      <c r="H32" s="1" t="s">
        <v>240</v>
      </c>
      <c r="I32">
        <v>10</v>
      </c>
    </row>
    <row r="33" spans="1:9" x14ac:dyDescent="0.25">
      <c r="A33" t="s">
        <v>27</v>
      </c>
      <c r="B33">
        <v>2</v>
      </c>
      <c r="C33" t="s">
        <v>15</v>
      </c>
      <c r="D33" t="s">
        <v>16</v>
      </c>
      <c r="E33" t="s">
        <v>28</v>
      </c>
      <c r="F33" t="s">
        <v>267</v>
      </c>
      <c r="G33" t="s">
        <v>29</v>
      </c>
      <c r="H33" s="1" t="s">
        <v>30</v>
      </c>
      <c r="I33">
        <v>10</v>
      </c>
    </row>
    <row r="34" spans="1:9" x14ac:dyDescent="0.25">
      <c r="A34" t="s">
        <v>167</v>
      </c>
      <c r="B34">
        <v>1</v>
      </c>
      <c r="C34" t="s">
        <v>15</v>
      </c>
      <c r="D34" t="s">
        <v>16</v>
      </c>
      <c r="E34" t="s">
        <v>168</v>
      </c>
      <c r="F34" t="s">
        <v>267</v>
      </c>
      <c r="G34" t="s">
        <v>169</v>
      </c>
      <c r="H34" s="1" t="s">
        <v>170</v>
      </c>
      <c r="I34">
        <v>5</v>
      </c>
    </row>
    <row r="35" spans="1:9" x14ac:dyDescent="0.25">
      <c r="A35" t="s">
        <v>214</v>
      </c>
      <c r="B35">
        <v>6</v>
      </c>
      <c r="C35" t="s">
        <v>15</v>
      </c>
      <c r="D35" t="s">
        <v>60</v>
      </c>
      <c r="E35" t="s">
        <v>215</v>
      </c>
      <c r="F35" t="s">
        <v>267</v>
      </c>
      <c r="G35" t="s">
        <v>216</v>
      </c>
      <c r="H35" s="1" t="s">
        <v>217</v>
      </c>
      <c r="I35">
        <v>30</v>
      </c>
    </row>
    <row r="36" spans="1:9" x14ac:dyDescent="0.25">
      <c r="A36" t="s">
        <v>175</v>
      </c>
      <c r="B36">
        <v>2</v>
      </c>
      <c r="C36" t="s">
        <v>15</v>
      </c>
      <c r="D36" t="s">
        <v>16</v>
      </c>
      <c r="E36" t="s">
        <v>176</v>
      </c>
      <c r="F36" t="s">
        <v>267</v>
      </c>
      <c r="G36" t="s">
        <v>29</v>
      </c>
      <c r="H36" s="1" t="s">
        <v>177</v>
      </c>
      <c r="I36">
        <v>10</v>
      </c>
    </row>
    <row r="37" spans="1:9" x14ac:dyDescent="0.25">
      <c r="A37" t="s">
        <v>228</v>
      </c>
      <c r="B37">
        <v>3</v>
      </c>
      <c r="C37" t="s">
        <v>15</v>
      </c>
      <c r="D37" t="s">
        <v>16</v>
      </c>
      <c r="E37" t="s">
        <v>229</v>
      </c>
      <c r="F37" t="s">
        <v>267</v>
      </c>
      <c r="G37" t="s">
        <v>29</v>
      </c>
      <c r="H37" s="1" t="s">
        <v>230</v>
      </c>
      <c r="I37">
        <v>15</v>
      </c>
    </row>
    <row r="38" spans="1:9" x14ac:dyDescent="0.25">
      <c r="A38" t="s">
        <v>254</v>
      </c>
      <c r="B38">
        <v>12</v>
      </c>
      <c r="C38" t="s">
        <v>15</v>
      </c>
      <c r="D38" t="s">
        <v>16</v>
      </c>
      <c r="E38" t="s">
        <v>255</v>
      </c>
      <c r="F38" t="s">
        <v>267</v>
      </c>
      <c r="G38" t="s">
        <v>256</v>
      </c>
      <c r="H38" s="1" t="s">
        <v>257</v>
      </c>
      <c r="I38">
        <v>60</v>
      </c>
    </row>
    <row r="39" spans="1:9" x14ac:dyDescent="0.25">
      <c r="A39" t="s">
        <v>95</v>
      </c>
      <c r="B39">
        <v>1</v>
      </c>
      <c r="C39" t="s">
        <v>15</v>
      </c>
      <c r="D39" t="s">
        <v>16</v>
      </c>
      <c r="E39" t="s">
        <v>96</v>
      </c>
      <c r="F39" t="s">
        <v>267</v>
      </c>
      <c r="G39" t="s">
        <v>97</v>
      </c>
      <c r="H39" s="1" t="s">
        <v>98</v>
      </c>
      <c r="I39">
        <v>5</v>
      </c>
    </row>
    <row r="40" spans="1:9" x14ac:dyDescent="0.25">
      <c r="A40" t="s">
        <v>150</v>
      </c>
      <c r="B40">
        <v>1</v>
      </c>
      <c r="C40" t="s">
        <v>15</v>
      </c>
      <c r="D40" t="s">
        <v>16</v>
      </c>
      <c r="E40" t="s">
        <v>151</v>
      </c>
      <c r="F40" t="s">
        <v>267</v>
      </c>
      <c r="G40" t="s">
        <v>29</v>
      </c>
      <c r="H40" s="1">
        <v>560112120033</v>
      </c>
      <c r="I40">
        <v>5</v>
      </c>
    </row>
    <row r="41" spans="1:9" x14ac:dyDescent="0.25">
      <c r="A41" t="s">
        <v>246</v>
      </c>
      <c r="B41">
        <v>1</v>
      </c>
      <c r="C41" t="s">
        <v>15</v>
      </c>
      <c r="D41" t="s">
        <v>60</v>
      </c>
      <c r="E41" t="s">
        <v>247</v>
      </c>
      <c r="F41" t="s">
        <v>267</v>
      </c>
      <c r="G41" t="s">
        <v>248</v>
      </c>
      <c r="H41" s="1" t="s">
        <v>249</v>
      </c>
      <c r="I41">
        <v>5</v>
      </c>
    </row>
    <row r="42" spans="1:9" x14ac:dyDescent="0.25">
      <c r="A42" t="s">
        <v>250</v>
      </c>
      <c r="B42">
        <v>4</v>
      </c>
      <c r="C42" t="s">
        <v>15</v>
      </c>
      <c r="D42" t="s">
        <v>16</v>
      </c>
      <c r="E42" t="s">
        <v>251</v>
      </c>
      <c r="F42" t="s">
        <v>267</v>
      </c>
      <c r="G42" t="s">
        <v>252</v>
      </c>
      <c r="H42" s="1" t="s">
        <v>253</v>
      </c>
      <c r="I42">
        <v>20</v>
      </c>
    </row>
    <row r="43" spans="1:9" x14ac:dyDescent="0.25">
      <c r="A43" t="s">
        <v>152</v>
      </c>
      <c r="B43">
        <v>8</v>
      </c>
      <c r="C43" t="s">
        <v>15</v>
      </c>
      <c r="D43" t="s">
        <v>16</v>
      </c>
      <c r="E43" t="s">
        <v>153</v>
      </c>
      <c r="F43" t="s">
        <v>267</v>
      </c>
      <c r="G43" t="s">
        <v>154</v>
      </c>
      <c r="H43" s="1" t="s">
        <v>155</v>
      </c>
      <c r="I43">
        <v>40</v>
      </c>
    </row>
    <row r="44" spans="1:9" x14ac:dyDescent="0.25">
      <c r="A44" t="s">
        <v>105</v>
      </c>
      <c r="B44">
        <v>2</v>
      </c>
      <c r="C44" t="s">
        <v>15</v>
      </c>
      <c r="D44" t="s">
        <v>16</v>
      </c>
      <c r="E44" t="s">
        <v>106</v>
      </c>
      <c r="F44" t="s">
        <v>267</v>
      </c>
      <c r="G44" t="s">
        <v>29</v>
      </c>
      <c r="H44" s="1" t="s">
        <v>107</v>
      </c>
      <c r="I44">
        <v>10</v>
      </c>
    </row>
    <row r="45" spans="1:9" x14ac:dyDescent="0.25">
      <c r="A45" t="s">
        <v>14</v>
      </c>
      <c r="B45">
        <v>3</v>
      </c>
      <c r="C45" t="s">
        <v>15</v>
      </c>
      <c r="D45" t="s">
        <v>16</v>
      </c>
      <c r="E45" t="s">
        <v>17</v>
      </c>
      <c r="F45" t="s">
        <v>267</v>
      </c>
      <c r="G45" t="s">
        <v>18</v>
      </c>
      <c r="H45" s="1" t="s">
        <v>19</v>
      </c>
      <c r="I45">
        <v>15</v>
      </c>
    </row>
    <row r="46" spans="1:9" x14ac:dyDescent="0.25">
      <c r="A46" t="s">
        <v>143</v>
      </c>
      <c r="B46">
        <v>1</v>
      </c>
      <c r="C46" t="s">
        <v>15</v>
      </c>
      <c r="D46" t="s">
        <v>16</v>
      </c>
      <c r="E46" t="s">
        <v>144</v>
      </c>
      <c r="F46" t="s">
        <v>267</v>
      </c>
      <c r="G46" t="s">
        <v>29</v>
      </c>
      <c r="H46" s="1" t="s">
        <v>145</v>
      </c>
      <c r="I46">
        <v>5</v>
      </c>
    </row>
    <row r="47" spans="1:9" x14ac:dyDescent="0.25">
      <c r="A47" t="s">
        <v>159</v>
      </c>
      <c r="B47">
        <v>1</v>
      </c>
      <c r="C47" t="s">
        <v>15</v>
      </c>
      <c r="D47" t="s">
        <v>16</v>
      </c>
      <c r="E47" t="s">
        <v>160</v>
      </c>
      <c r="F47" t="s">
        <v>267</v>
      </c>
      <c r="G47" t="s">
        <v>161</v>
      </c>
      <c r="H47" s="1" t="s">
        <v>162</v>
      </c>
      <c r="I47">
        <v>5</v>
      </c>
    </row>
    <row r="48" spans="1:9" x14ac:dyDescent="0.25">
      <c r="A48" t="s">
        <v>186</v>
      </c>
      <c r="B48">
        <v>5</v>
      </c>
      <c r="C48" t="s">
        <v>187</v>
      </c>
      <c r="D48" t="s">
        <v>188</v>
      </c>
      <c r="E48" t="s">
        <v>189</v>
      </c>
      <c r="F48" t="s">
        <v>267</v>
      </c>
      <c r="G48" t="s">
        <v>190</v>
      </c>
      <c r="H48" s="1" t="s">
        <v>191</v>
      </c>
      <c r="I48">
        <v>25</v>
      </c>
    </row>
    <row r="49" spans="1:9" x14ac:dyDescent="0.25">
      <c r="A49" t="s">
        <v>91</v>
      </c>
      <c r="B49">
        <v>2</v>
      </c>
      <c r="C49" t="s">
        <v>92</v>
      </c>
      <c r="D49" t="s">
        <v>93</v>
      </c>
      <c r="E49" t="s">
        <v>76</v>
      </c>
      <c r="F49" t="s">
        <v>267</v>
      </c>
      <c r="G49" t="s">
        <v>94</v>
      </c>
      <c r="H49" s="1" t="s">
        <v>93</v>
      </c>
      <c r="I49">
        <v>10</v>
      </c>
    </row>
    <row r="50" spans="1:9" x14ac:dyDescent="0.25">
      <c r="A50" t="s">
        <v>76</v>
      </c>
      <c r="B50" s="2">
        <v>3</v>
      </c>
      <c r="C50" t="s">
        <v>301</v>
      </c>
      <c r="D50" t="s">
        <v>76</v>
      </c>
      <c r="E50" t="s">
        <v>76</v>
      </c>
      <c r="F50" t="s">
        <v>267</v>
      </c>
      <c r="G50" s="6" t="s">
        <v>302</v>
      </c>
      <c r="H50" s="8">
        <v>691361100006</v>
      </c>
      <c r="I50">
        <v>15</v>
      </c>
    </row>
    <row r="51" spans="1:9" x14ac:dyDescent="0.25">
      <c r="A51" t="s">
        <v>76</v>
      </c>
      <c r="B51" s="2">
        <v>1</v>
      </c>
      <c r="C51" t="s">
        <v>303</v>
      </c>
      <c r="D51" t="s">
        <v>76</v>
      </c>
      <c r="E51" t="s">
        <v>76</v>
      </c>
      <c r="F51" t="s">
        <v>267</v>
      </c>
      <c r="G51" s="6" t="s">
        <v>302</v>
      </c>
      <c r="H51" s="8">
        <v>691361100004</v>
      </c>
      <c r="I51">
        <v>5</v>
      </c>
    </row>
    <row r="52" spans="1:9" x14ac:dyDescent="0.25">
      <c r="A52" t="s">
        <v>76</v>
      </c>
      <c r="B52" s="2">
        <v>3</v>
      </c>
      <c r="C52" t="s">
        <v>304</v>
      </c>
      <c r="D52" t="s">
        <v>76</v>
      </c>
      <c r="E52" t="s">
        <v>76</v>
      </c>
      <c r="F52" t="s">
        <v>267</v>
      </c>
      <c r="G52" s="6" t="s">
        <v>305</v>
      </c>
      <c r="H52" s="1">
        <v>60800213421</v>
      </c>
      <c r="I52">
        <v>20</v>
      </c>
    </row>
    <row r="53" spans="1:9" x14ac:dyDescent="0.25">
      <c r="A53" t="s">
        <v>76</v>
      </c>
      <c r="B53" s="2">
        <v>4</v>
      </c>
      <c r="C53" s="4" t="s">
        <v>311</v>
      </c>
      <c r="D53" t="s">
        <v>76</v>
      </c>
      <c r="E53" t="s">
        <v>76</v>
      </c>
      <c r="F53" t="s">
        <v>267</v>
      </c>
      <c r="G53" s="6" t="s">
        <v>306</v>
      </c>
      <c r="H53" s="1">
        <v>971120365</v>
      </c>
      <c r="I53">
        <v>20</v>
      </c>
    </row>
    <row r="54" spans="1:9" x14ac:dyDescent="0.25">
      <c r="A54" t="s">
        <v>76</v>
      </c>
      <c r="B54" s="2">
        <v>4</v>
      </c>
      <c r="C54" t="s">
        <v>307</v>
      </c>
      <c r="D54" t="s">
        <v>76</v>
      </c>
      <c r="E54" t="s">
        <v>76</v>
      </c>
      <c r="F54" t="s">
        <v>267</v>
      </c>
      <c r="G54" s="3" t="s">
        <v>312</v>
      </c>
      <c r="H54" s="8">
        <v>960020042</v>
      </c>
      <c r="I54">
        <v>20</v>
      </c>
    </row>
    <row r="55" spans="1:9" ht="15" customHeight="1" x14ac:dyDescent="0.25">
      <c r="A55" t="s">
        <v>76</v>
      </c>
      <c r="B55" s="2">
        <v>1</v>
      </c>
      <c r="C55" t="s">
        <v>321</v>
      </c>
      <c r="D55" t="s">
        <v>316</v>
      </c>
      <c r="E55" t="s">
        <v>76</v>
      </c>
      <c r="F55" t="s">
        <v>267</v>
      </c>
      <c r="G55" s="3" t="s">
        <v>317</v>
      </c>
      <c r="H55" s="8">
        <v>2610059035001</v>
      </c>
      <c r="I55">
        <v>1</v>
      </c>
    </row>
    <row r="56" spans="1:9" x14ac:dyDescent="0.25">
      <c r="A56" t="s">
        <v>76</v>
      </c>
      <c r="B56" s="2">
        <v>4</v>
      </c>
      <c r="C56" t="s">
        <v>308</v>
      </c>
      <c r="D56" t="s">
        <v>76</v>
      </c>
      <c r="E56" t="s">
        <v>76</v>
      </c>
      <c r="F56" t="s">
        <v>267</v>
      </c>
      <c r="G56" s="3" t="s">
        <v>320</v>
      </c>
      <c r="H56" s="8">
        <v>970050365</v>
      </c>
      <c r="I56">
        <v>20</v>
      </c>
    </row>
    <row r="57" spans="1:9" x14ac:dyDescent="0.25">
      <c r="B57">
        <f>SUM(B2:B56)</f>
        <v>183</v>
      </c>
      <c r="H57" s="7"/>
      <c r="I57">
        <f>SUM(I2:I56)</f>
        <v>916</v>
      </c>
    </row>
  </sheetData>
  <hyperlinks>
    <hyperlink ref="G20" r:id="rId1" location="691219610002" display="https://www.we-online.com/de/components/products/TBL_10_16_2196_HORIZONTAL_ENTRY_MODULAR_69121961000X - 691219610002" xr:uid="{B1AD91F5-EB2F-4C5D-A9EC-30D943602034}"/>
    <hyperlink ref="G25" r:id="rId2" location="691219610003" display="https://www.we-online.com/de/components/products/TBL_10_16_2196_HORIZONTAL_ENTRY_MODULAR_69121961000X - 691219610003" xr:uid="{C4252D54-C20F-47E2-9C95-0C8C32F20B84}"/>
    <hyperlink ref="G50" r:id="rId3" display="https://www.we-online.com/de/components/products/TBL_3_50_3611_VERTICAL_69136110000X" xr:uid="{5B540F6F-E548-419E-A01B-C1BEAD764803}"/>
    <hyperlink ref="G51" r:id="rId4" display="https://www.we-online.com/de/components/products/TBL_3_50_3611_VERTICAL_69136110000X" xr:uid="{111C8FC7-99C9-4EC7-B8DE-212984119625}"/>
    <hyperlink ref="G52" r:id="rId5" location="60800213421" display="https://www.we-online.com/en/components/products/PHD_2_00_JUMPER_W_TEST_POINT_60800213421 - 60800213421" xr:uid="{1E33FD60-C851-4299-B394-57973EC7148F}"/>
    <hyperlink ref="G53" r:id="rId6" location="971120365" display="https://www.we-online.com/en/components/products/SPAIE_PLASTIC_SPACER_STUD_METRIC_INTERNAL_EXTERNAL - 971120365" xr:uid="{FAE64094-6062-4ABF-B2B5-70FD50F41EA1}"/>
    <hyperlink ref="G54" r:id="rId7" display="https://www.we-online.com/components/products/datasheet/960020042.pdf" xr:uid="{33C2A7FD-C249-4202-AE61-BF2D52E6F416}"/>
    <hyperlink ref="G55" r:id="rId8" display="https://www.we-online.com/de/components/products/CALYPSO_IOT_FEATHERWING_2" xr:uid="{24D37B88-C7AB-44C7-8E69-D0CD3563D0A0}"/>
    <hyperlink ref="G56" r:id="rId9" display="https://www.we-online.com/de/components/products/WA-SPAII_PLASTIC_SPACER_STUD_METRIC_INTERNAL_INTERNAL" xr:uid="{7709DD8E-CFB1-43A9-9182-D0C9F50982DD}"/>
  </hyperlinks>
  <pageMargins left="0.7" right="0.7" top="0.75" bottom="0.75" header="0.3" footer="0.3"/>
  <pageSetup paperSize="9" orientation="portrait" r:id="rId10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3901-0E80-4D0A-97ED-8EE8AE0D2115}">
  <dimension ref="A1:I17"/>
  <sheetViews>
    <sheetView zoomScale="85" zoomScaleNormal="85" workbookViewId="0">
      <selection activeCell="D29" sqref="D29"/>
    </sheetView>
  </sheetViews>
  <sheetFormatPr defaultRowHeight="15" x14ac:dyDescent="0.25"/>
  <cols>
    <col min="1" max="1" width="23.7109375" customWidth="1"/>
    <col min="2" max="2" width="10.85546875" customWidth="1"/>
    <col min="3" max="3" width="70.42578125" customWidth="1"/>
    <col min="4" max="4" width="24.28515625" customWidth="1"/>
    <col min="6" max="6" width="21.28515625" bestFit="1" customWidth="1"/>
    <col min="7" max="7" width="18" customWidth="1"/>
    <col min="8" max="8" width="24.7109375" bestFit="1" customWidth="1"/>
    <col min="9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t="s">
        <v>322</v>
      </c>
    </row>
    <row r="2" spans="1:9" x14ac:dyDescent="0.25">
      <c r="A2" t="s">
        <v>76</v>
      </c>
      <c r="B2" s="2">
        <v>7</v>
      </c>
      <c r="C2" s="4" t="s">
        <v>293</v>
      </c>
      <c r="D2" t="s">
        <v>76</v>
      </c>
      <c r="E2" t="s">
        <v>76</v>
      </c>
      <c r="F2" t="s">
        <v>294</v>
      </c>
      <c r="G2" s="6" t="s">
        <v>295</v>
      </c>
      <c r="H2" s="1" t="s">
        <v>296</v>
      </c>
      <c r="I2">
        <v>35</v>
      </c>
    </row>
    <row r="3" spans="1:9" x14ac:dyDescent="0.25">
      <c r="A3" t="s">
        <v>197</v>
      </c>
      <c r="B3">
        <v>2</v>
      </c>
      <c r="C3" t="s">
        <v>288</v>
      </c>
      <c r="D3" t="s">
        <v>198</v>
      </c>
      <c r="E3" t="s">
        <v>76</v>
      </c>
      <c r="F3" t="s">
        <v>199</v>
      </c>
      <c r="G3" s="3" t="s">
        <v>287</v>
      </c>
      <c r="H3" s="1" t="s">
        <v>200</v>
      </c>
      <c r="I3">
        <v>10</v>
      </c>
    </row>
    <row r="4" spans="1:9" x14ac:dyDescent="0.25">
      <c r="A4" t="s">
        <v>123</v>
      </c>
      <c r="B4">
        <v>1</v>
      </c>
      <c r="C4" t="s">
        <v>318</v>
      </c>
      <c r="D4" t="s">
        <v>124</v>
      </c>
      <c r="E4" t="s">
        <v>76</v>
      </c>
      <c r="F4" s="4" t="s">
        <v>284</v>
      </c>
      <c r="G4" s="3" t="s">
        <v>285</v>
      </c>
      <c r="H4" s="1" t="s">
        <v>125</v>
      </c>
      <c r="I4">
        <v>5</v>
      </c>
    </row>
    <row r="5" spans="1:9" x14ac:dyDescent="0.25">
      <c r="A5" t="s">
        <v>74</v>
      </c>
      <c r="B5">
        <v>5</v>
      </c>
      <c r="C5" s="1" t="s">
        <v>269</v>
      </c>
      <c r="D5" t="s">
        <v>75</v>
      </c>
      <c r="E5" t="s">
        <v>76</v>
      </c>
      <c r="F5" s="2" t="s">
        <v>270</v>
      </c>
      <c r="G5" s="3" t="s">
        <v>271</v>
      </c>
      <c r="H5" s="1" t="s">
        <v>268</v>
      </c>
      <c r="I5">
        <v>25</v>
      </c>
    </row>
    <row r="6" spans="1:9" x14ac:dyDescent="0.25">
      <c r="A6" t="s">
        <v>277</v>
      </c>
      <c r="B6">
        <v>1</v>
      </c>
      <c r="C6" t="s">
        <v>236</v>
      </c>
      <c r="D6" t="s">
        <v>236</v>
      </c>
      <c r="E6" t="s">
        <v>76</v>
      </c>
      <c r="F6" t="s">
        <v>276</v>
      </c>
      <c r="G6" s="3" t="s">
        <v>278</v>
      </c>
      <c r="H6" s="1" t="s">
        <v>279</v>
      </c>
      <c r="I6">
        <v>5</v>
      </c>
    </row>
    <row r="7" spans="1:9" x14ac:dyDescent="0.25">
      <c r="A7" t="s">
        <v>52</v>
      </c>
      <c r="B7">
        <v>1</v>
      </c>
      <c r="C7" t="s">
        <v>54</v>
      </c>
      <c r="D7" t="s">
        <v>53</v>
      </c>
      <c r="E7" t="s">
        <v>76</v>
      </c>
      <c r="F7" t="s">
        <v>129</v>
      </c>
      <c r="G7" s="3" t="s">
        <v>282</v>
      </c>
      <c r="H7" s="1" t="s">
        <v>281</v>
      </c>
      <c r="I7">
        <v>5</v>
      </c>
    </row>
    <row r="8" spans="1:9" x14ac:dyDescent="0.25">
      <c r="A8" t="s">
        <v>126</v>
      </c>
      <c r="B8">
        <v>2</v>
      </c>
      <c r="C8" t="s">
        <v>127</v>
      </c>
      <c r="D8" t="s">
        <v>127</v>
      </c>
      <c r="E8" t="s">
        <v>76</v>
      </c>
      <c r="F8" t="s">
        <v>129</v>
      </c>
      <c r="G8" s="3" t="s">
        <v>283</v>
      </c>
      <c r="H8" s="1" t="s">
        <v>128</v>
      </c>
      <c r="I8">
        <v>10</v>
      </c>
    </row>
    <row r="9" spans="1:9" x14ac:dyDescent="0.25">
      <c r="A9" t="s">
        <v>241</v>
      </c>
      <c r="B9">
        <v>1</v>
      </c>
      <c r="C9" t="s">
        <v>292</v>
      </c>
      <c r="D9" t="s">
        <v>242</v>
      </c>
      <c r="E9" t="s">
        <v>76</v>
      </c>
      <c r="F9" t="s">
        <v>244</v>
      </c>
      <c r="G9" s="6" t="s">
        <v>243</v>
      </c>
      <c r="H9" s="1" t="s">
        <v>245</v>
      </c>
      <c r="I9">
        <v>5</v>
      </c>
    </row>
    <row r="10" spans="1:9" x14ac:dyDescent="0.25">
      <c r="A10" t="s">
        <v>146</v>
      </c>
      <c r="B10">
        <v>1</v>
      </c>
      <c r="C10" t="s">
        <v>147</v>
      </c>
      <c r="D10" t="s">
        <v>148</v>
      </c>
      <c r="E10" t="s">
        <v>76</v>
      </c>
      <c r="F10" s="2" t="s">
        <v>89</v>
      </c>
      <c r="G10" s="5" t="s">
        <v>289</v>
      </c>
      <c r="H10" s="1" t="s">
        <v>149</v>
      </c>
      <c r="I10">
        <v>5</v>
      </c>
    </row>
    <row r="11" spans="1:9" x14ac:dyDescent="0.25">
      <c r="A11" t="s">
        <v>86</v>
      </c>
      <c r="B11">
        <v>4</v>
      </c>
      <c r="C11" t="s">
        <v>90</v>
      </c>
      <c r="D11" t="s">
        <v>87</v>
      </c>
      <c r="E11" t="s">
        <v>76</v>
      </c>
      <c r="F11" t="s">
        <v>89</v>
      </c>
      <c r="G11" t="s">
        <v>88</v>
      </c>
      <c r="H11" s="1" t="s">
        <v>90</v>
      </c>
      <c r="I11">
        <v>20</v>
      </c>
    </row>
    <row r="12" spans="1:9" x14ac:dyDescent="0.25">
      <c r="A12" t="s">
        <v>218</v>
      </c>
      <c r="B12">
        <v>1</v>
      </c>
      <c r="C12" t="s">
        <v>313</v>
      </c>
      <c r="D12" t="s">
        <v>219</v>
      </c>
      <c r="E12" t="s">
        <v>76</v>
      </c>
      <c r="F12" t="s">
        <v>89</v>
      </c>
      <c r="G12" t="s">
        <v>220</v>
      </c>
      <c r="H12" s="1" t="s">
        <v>221</v>
      </c>
      <c r="I12">
        <v>5</v>
      </c>
    </row>
    <row r="13" spans="1:9" x14ac:dyDescent="0.25">
      <c r="A13" t="s">
        <v>163</v>
      </c>
      <c r="B13">
        <v>1</v>
      </c>
      <c r="C13" t="s">
        <v>314</v>
      </c>
      <c r="D13" t="s">
        <v>164</v>
      </c>
      <c r="E13" t="s">
        <v>76</v>
      </c>
      <c r="F13" t="s">
        <v>89</v>
      </c>
      <c r="G13" t="s">
        <v>165</v>
      </c>
      <c r="H13" s="1" t="s">
        <v>166</v>
      </c>
      <c r="I13">
        <v>5</v>
      </c>
    </row>
    <row r="14" spans="1:9" x14ac:dyDescent="0.25">
      <c r="A14" t="s">
        <v>76</v>
      </c>
      <c r="B14" s="2">
        <v>11</v>
      </c>
      <c r="C14" t="s">
        <v>315</v>
      </c>
      <c r="D14" t="s">
        <v>76</v>
      </c>
      <c r="E14" t="s">
        <v>76</v>
      </c>
      <c r="H14" s="1"/>
      <c r="I14">
        <v>55</v>
      </c>
    </row>
    <row r="15" spans="1:9" x14ac:dyDescent="0.25">
      <c r="A15" t="s">
        <v>76</v>
      </c>
      <c r="B15" s="2">
        <v>11</v>
      </c>
      <c r="C15" t="s">
        <v>309</v>
      </c>
      <c r="D15" t="s">
        <v>76</v>
      </c>
      <c r="E15" t="s">
        <v>76</v>
      </c>
      <c r="H15" s="1"/>
      <c r="I15">
        <v>55</v>
      </c>
    </row>
    <row r="16" spans="1:9" ht="16.5" customHeight="1" x14ac:dyDescent="0.25">
      <c r="A16" t="s">
        <v>76</v>
      </c>
      <c r="B16" s="2">
        <v>11</v>
      </c>
      <c r="C16" t="s">
        <v>310</v>
      </c>
      <c r="D16" t="s">
        <v>76</v>
      </c>
      <c r="E16" t="s">
        <v>76</v>
      </c>
      <c r="H16" s="1"/>
      <c r="I16">
        <v>55</v>
      </c>
    </row>
    <row r="17" spans="2:9" x14ac:dyDescent="0.25">
      <c r="B17" s="2">
        <f>SUM(B2:B16)</f>
        <v>60</v>
      </c>
      <c r="H17" s="7"/>
      <c r="I17">
        <f>SUM(I2:I16)</f>
        <v>300</v>
      </c>
    </row>
  </sheetData>
  <hyperlinks>
    <hyperlink ref="G4" r:id="rId1" display="https://www.tdk-electronics.tdk.com/inf/50/db/ntc/NTC_SMD_Standard_series_0805.pdf" xr:uid="{FF9F3DD4-B990-488C-9DE1-A4C24EF9A96B}"/>
    <hyperlink ref="G3" r:id="rId2" display="https://www.bourns.com/docs/Product-Datasheets/3386.pdf" xr:uid="{EA271C35-579D-4C33-9FE2-DC0CF5CDD78F}"/>
    <hyperlink ref="G2" r:id="rId3" display="https://www.digikey.at/en/products/detail/bergquist/SP400-0-007-00-104/529921" xr:uid="{4EBEC858-2020-42B8-9F73-3F0FAD99A1FA}"/>
    <hyperlink ref="G5" r:id="rId4" display="https://www.onsemi.com/pdf/datasheet/bzx84c2v4lt1-d.pdf" xr:uid="{A87E642B-72CF-47AB-A839-05CDDFDB51E1}"/>
    <hyperlink ref="G6" r:id="rId5" display="https://docs.rs-online.com/3b50/A700000010244389.pdf" xr:uid="{8914AB7C-8B0E-40A0-B6B1-2460485E6673}"/>
    <hyperlink ref="G7" r:id="rId6" display="https://www.samtec.com/de/products/hsec8-160-01-l-dv-a-bl" xr:uid="{F038690E-43D4-46B1-A948-D6B11FA2E001}"/>
    <hyperlink ref="G8" r:id="rId7" location="distributorinfo" display="https://www.samtec.com/de/products/erf8-040-05.0-l-dv-l-k-tr - distributorinfo" xr:uid="{2ACD6B52-7FE5-4874-8E26-470317CAE163}"/>
    <hyperlink ref="G10" r:id="rId8" display="https://www.ti.com/lit/ds/symlink/lm5013.pdf?ts=1753887799318&amp;ref_url=https%253A%252F%252Fwww.ti.com%252Fpower-management%252Facdc-dcdc-converters%252Fproducts.html" xr:uid="{ECFEEF59-BCCD-4D6E-97FD-D4051E851F7C}"/>
    <hyperlink ref="G9" r:id="rId9" xr:uid="{4D0DFA93-BFC3-4882-9C72-B4F195DE9902}"/>
  </hyperlinks>
  <pageMargins left="0.7" right="0.7" top="0.75" bottom="0.75" header="0.3" footer="0.3"/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BCE238-FFC5-4287-943B-1774CC5632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PowerBoard2BOM v34 GESAMT</vt:lpstr>
      <vt:lpstr>PowerBoard2BOM v34 INFINEON</vt:lpstr>
      <vt:lpstr>PowerBoard2BOM v34 WÜRTH</vt:lpstr>
      <vt:lpstr>PowerBoard2BOM v34 HTL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HAUSBERGER Simon, SchülerIn</dc:creator>
  <cp:lastModifiedBy>HAUSBERGER Simon, SchülerIn</cp:lastModifiedBy>
  <cp:lastPrinted>2026-01-12T19:14:59Z</cp:lastPrinted>
  <dcterms:created xsi:type="dcterms:W3CDTF">2026-01-03T15:52:27Z</dcterms:created>
  <dcterms:modified xsi:type="dcterms:W3CDTF">2026-03-01T10:41:34Z</dcterms:modified>
</cp:coreProperties>
</file>